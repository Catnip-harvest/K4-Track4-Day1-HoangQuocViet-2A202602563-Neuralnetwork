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<sst xmlns="http://schemas.openxmlformats.org/spreadsheetml/2006/main" count="832" uniqueCount="352">
  <si>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</si>
  <si>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</si>
  <si>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</si>
  <si>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</si>
  <si>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</si>
  <si>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</si>
  <si>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</si>
  <si>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</si>
  <si>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</si>
  <si>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</si>
  <si>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</si>
  <si>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</si>
  <si>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</si>
  <si>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</si>
  <si>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</si>
  <si>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</si>
  <si>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</si>
  <si>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</si>
  <si>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</si>
  <si>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</si>
  <si>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</si>
  <si>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</si>
  <si>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</si>
  <si>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</si>
  <si>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</si>
  <si>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</si>
  <si>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</si>
  <si>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</si>
  <si>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</si>
  <si>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</si>
  <si>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</si>
  <si>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</si>
  <si>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</si>
  <si>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</si>
  <si>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</si>
  <si>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</si>
  <si>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</si>
  <si>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</si>
  <si>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</si>
  <si>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</si>
  <si>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</si>
  <si>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</si>
  <si>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</si>
  <si>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</si>
  <si>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</si>
  <si>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</si>
  <si>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</si>
  <si>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</si>
  <si>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</si>
  <si>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</si>
  <si>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</si>
  <si>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</si>
  <si>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</si>
  <si>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</si>
  <si>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</si>
  <si>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</si>
  <si>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</si>
  <si>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</si>
  <si>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</si>
  <si>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</si>
  <si>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</si>
  <si>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</si>
  <si>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</si>
  <si>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</si>
  <si>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</si>
  <si>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</si>
  <si>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</si>
  <si>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</si>
  <si>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</si>
  <si>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</si>
  <si>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</si>
  <si>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</si>
  <si>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</si>
  <si>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</si>
  <si>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</si>
  <si>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</si>
  <si>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</si>
  <si>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</si>
  <si>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</si>
  <si>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</si>
  <si>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</si>
  <si>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</si>
  <si>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</si>
  <si>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</si>
  <si>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</si>
  <si>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</si>
  <si>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</si>
  <si>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</si>
  <si>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</si>
  <si>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</si>
  <si>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</si>
  <si>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</si>
  <si>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</si>
  <si>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</si>
  <si>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</si>
  <si>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</si>
  <si>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</si>
  <si>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</si>
  <si>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</si>
  <si>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</si>
  <si>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</si>
  <si>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</si>
  <si>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</si>
  <si>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</si>
  <si>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</si>
  <si>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</si>
  <si>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</si>
  <si>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</si>
  <si>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</si>
  <si>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</si>
  <si>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</si>
  <si>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</si>
  <si>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</si>
  <si>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base-s1</t>
  </si>
  <si>
    <t xml:space="preserve">baseline</t>
  </si>
  <si>
    <t xml:space="preserve">Baseline M-base, SGD+momentum lr=0.3, seed 1</t>
  </si>
  <si>
    <t xml:space="preserve">CE</t>
  </si>
  <si>
    <t xml:space="preserve">SGD+momentum</t>
  </si>
  <si>
    <t xml:space="preserve">256-128</t>
  </si>
  <si>
    <t xml:space="preserve">none</t>
  </si>
  <si>
    <t xml:space="preserve">fp32</t>
  </si>
  <si>
    <t xml:space="preserve">he</t>
  </si>
  <si>
    <t xml:space="preserve">figures/base-s1.png</t>
  </si>
  <si>
    <t xml:space="preserve">Baseline bắt buộc; lr chọn bằng val ở lr-sgdm-*; eval_* từ eval_extra/eval_result_base-s1.json (scripts/evaluate.py); momentum=0.9</t>
  </si>
  <si>
    <t xml:space="preserve">base-s2</t>
  </si>
  <si>
    <t xml:space="preserve">Baseline M-base, SGD+momentum lr=0.3, seed 2</t>
  </si>
  <si>
    <t xml:space="preserve">figures/base-s2.png</t>
  </si>
  <si>
    <t xml:space="preserve">Baseline bắt buộc; lr chọn bằng val ở lr-sgdm-*; momentum=0.9</t>
  </si>
  <si>
    <t xml:space="preserve">base-s3</t>
  </si>
  <si>
    <t xml:space="preserve">Baseline M-base, SGD+momentum lr=0.3, seed 3</t>
  </si>
  <si>
    <t xml:space="preserve">figures/base-s3.png</t>
  </si>
  <si>
    <t xml:space="preserve">hp-batch128</t>
  </si>
  <si>
    <t xml:space="preserve">hparam</t>
  </si>
  <si>
    <t xml:space="preserve">batch 128 (lr=0.3 giữ nguyên)</t>
  </si>
  <si>
    <t xml:space="preserve">figures/hp-batch128.png</t>
  </si>
  <si>
    <t xml:space="preserve">Dự đoán: gấp 4 bước/epoch -&gt; F1 cao hơn, chậm hơn/epoch; momentum=0.9</t>
  </si>
  <si>
    <t xml:space="preserve">hp-batch128-lr0.075</t>
  </si>
  <si>
    <t xml:space="preserve">batch 128, lr ÷4 = 0.075 (quy tắc tỉ lệ tuyến tính)</t>
  </si>
  <si>
    <t xml:space="preserve">figures/hp-batch128-lr0.075.png</t>
  </si>
  <si>
    <t xml:space="preserve">Dự đoán: lr nhỏ bù nhiễu gradient của lô nhỏ; đổi 2 yếu tố có chủ đích (batch + lr); momentum=0.9</t>
  </si>
  <si>
    <t xml:space="preserve">hp-batch2048</t>
  </si>
  <si>
    <t xml:space="preserve">batch 2048 (lr=0.3 giữ nguyên)</t>
  </si>
  <si>
    <t xml:space="preserve">figures/hp-batch2048.png</t>
  </si>
  <si>
    <t xml:space="preserve">Dự đoán: chỉ 182 bước/epoch -&gt; F1 thấp hơn rõ; momentum=0.9</t>
  </si>
  <si>
    <t xml:space="preserve">hp-batch2048-lr1.2</t>
  </si>
  <si>
    <t xml:space="preserve">batch 2048, lr ×4 = 1.2 (quy tắc tỉ lệ tuyến tính, không warmup)</t>
  </si>
  <si>
    <t xml:space="preserve">figures/hp-batch2048-lr1.2.png</t>
  </si>
  <si>
    <t xml:space="preserve">Dự đoán: lr x4 bù phần lớn số bước bị mất; đổi 2 yếu tố có chủ đích (batch + lr); momentum=0.9</t>
  </si>
  <si>
    <t xml:space="preserve">hp-deep</t>
  </si>
  <si>
    <t xml:space="preserve">M-deep 54-256-128-64-7 (55 687 tham số)</t>
  </si>
  <si>
    <t xml:space="preserve">256-128-64</t>
  </si>
  <si>
    <t xml:space="preserve">figures/hp-deep.png</t>
  </si>
  <si>
    <t xml:space="preserve">Dự đoán: thêm một lớp giúp ít hơn wide; momentum=0.9</t>
  </si>
  <si>
    <t xml:space="preserve">hp-epochs40</t>
  </si>
  <si>
    <t xml:space="preserve">40 epoch thay vì 20</t>
  </si>
  <si>
    <t xml:space="preserve">figures/hp-epochs40.png</t>
  </si>
  <si>
    <t xml:space="preserve">Dự đoán: best epoch là cuối -&gt; lâu hơn tăng F1; momentum=0.9</t>
  </si>
  <si>
    <t xml:space="preserve">hp-wd1e-4</t>
  </si>
  <si>
    <t xml:space="preserve">weight decay 1e-4 (SGD+momentum)</t>
  </si>
  <si>
    <t xml:space="preserve">figures/hp-wd1e-4.png</t>
  </si>
  <si>
    <t xml:space="preserve">Dự đoán: không giúp vì chưa quá khớp; momentum=0.9</t>
  </si>
  <si>
    <t xml:space="preserve">hp-wide</t>
  </si>
  <si>
    <t xml:space="preserve">M-wide 54-512-256-7 (161 287 tham số)</t>
  </si>
  <si>
    <t xml:space="preserve">512-256</t>
  </si>
  <si>
    <t xml:space="preserve">figures/hp-wide.png</t>
  </si>
  <si>
    <t xml:space="preserve">Dự đoán: thêm độ rộng giúp vì baseline chưa khớp; momentum=0.9</t>
  </si>
  <si>
    <t xml:space="preserve">lr-sgdm-0.003</t>
  </si>
  <si>
    <t xml:space="preserve">Tìm lr baseline: SGD+momentum lr=0.003 (còn lại như baseline)</t>
  </si>
  <si>
    <t xml:space="preserve">figures/lr-sgdm-0.003.png</t>
  </si>
  <si>
    <t xml:space="preserve">Dò lr cho baseline bằng val. Dự đoán: lr nhỏ chưa hội tụ, 0.1-0.3 tốt nhất, 1.0 có thể dao động/phân kỳ; momentum=0.9</t>
  </si>
  <si>
    <t xml:space="preserve">lr-sgdm-0.01</t>
  </si>
  <si>
    <t xml:space="preserve">Tìm lr baseline: SGD+momentum lr=0.01 (còn lại như baseline)</t>
  </si>
  <si>
    <t xml:space="preserve">figures/lr-sgdm-0.01.png</t>
  </si>
  <si>
    <t xml:space="preserve">lr-sgdm-0.03</t>
  </si>
  <si>
    <t xml:space="preserve">Tìm lr baseline: SGD+momentum lr=0.03 (còn lại như baseline)</t>
  </si>
  <si>
    <t xml:space="preserve">figures/lr-sgdm-0.03.png</t>
  </si>
  <si>
    <t xml:space="preserve">lr-sgdm-0.1</t>
  </si>
  <si>
    <t xml:space="preserve">Tìm lr baseline: SGD+momentum lr=0.1 (còn lại như baseline)</t>
  </si>
  <si>
    <t xml:space="preserve">figures/lr-sgdm-0.1.png</t>
  </si>
  <si>
    <t xml:space="preserve">lr-sgdm-0.3</t>
  </si>
  <si>
    <t xml:space="preserve">Tìm lr baseline: SGD+momentum lr=0.3 (còn lại như baseline)</t>
  </si>
  <si>
    <t xml:space="preserve">figures/lr-sgdm-0.3.png</t>
  </si>
  <si>
    <t xml:space="preserve">lr-sgdm-1</t>
  </si>
  <si>
    <t xml:space="preserve">Tìm lr baseline: SGD+momentum lr=1 (còn lại như baseline)</t>
  </si>
  <si>
    <t xml:space="preserve">figures/lr-sgdm-1.png</t>
  </si>
  <si>
    <t xml:space="preserve">loss-mse</t>
  </si>
  <si>
    <t xml:space="preserve">MSE trên logit (one-hot), lr=0.3 như baseline</t>
  </si>
  <si>
    <t xml:space="preserve">MSE</t>
  </si>
  <si>
    <t xml:space="preserve">figures/loss-mse.png</t>
  </si>
  <si>
    <t xml:space="preserve">Dự đoán: MSE học chậm hơn, macro-F1 thấp hơn CE (lớp hiếm bị bỏ qua); momentum=0.9</t>
  </si>
  <si>
    <t xml:space="preserve">loss-mse-lr0.9</t>
  </si>
  <si>
    <t xml:space="preserve">MSE trên logit, lr=0.9 (gấp 3 để bù gradient nhỏ)</t>
  </si>
  <si>
    <t xml:space="preserve">figures/loss-mse-lr0.9.png</t>
  </si>
  <si>
    <t xml:space="preserve">Dự đoán: lr gấp 3 cải thiện MSE nhưng vẫn thua CE ở macro-F1; momentum=0.9</t>
  </si>
  <si>
    <t xml:space="preserve">opt-adam-lr0.0003</t>
  </si>
  <si>
    <t xml:space="preserve">Adam, lr=0.0003</t>
  </si>
  <si>
    <t xml:space="preserve">figures/opt-adam-lr0.0003.png</t>
  </si>
  <si>
    <t xml:space="preserve">Dự đoán: Adam tốt nhất quanh 1e-3, hội tụ nhanh ở epoch đầu; betas=(0.9, 0.999), eps=1e-08</t>
  </si>
  <si>
    <t xml:space="preserve">opt-adam-lr0.001</t>
  </si>
  <si>
    <t xml:space="preserve">Adam, lr=0.001</t>
  </si>
  <si>
    <t xml:space="preserve">figures/opt-adam-lr0.001.png</t>
  </si>
  <si>
    <t xml:space="preserve">opt-adam-lr0.003</t>
  </si>
  <si>
    <t xml:space="preserve">Adam, lr=0.003</t>
  </si>
  <si>
    <t xml:space="preserve">figures/opt-adam-lr0.003.png</t>
  </si>
  <si>
    <t xml:space="preserve">opt-adam-lr0.01</t>
  </si>
  <si>
    <t xml:space="preserve">Adam, lr=0.01</t>
  </si>
  <si>
    <t xml:space="preserve">figures/opt-adam-lr0.01.png</t>
  </si>
  <si>
    <t xml:space="preserve">opt-adamw-lr0.001</t>
  </si>
  <si>
    <t xml:space="preserve">AdamW wd=0.01, lr=0.001</t>
  </si>
  <si>
    <t xml:space="preserve">AdamW</t>
  </si>
  <si>
    <t xml:space="preserve">figures/opt-adamw-lr0.001.png</t>
  </si>
  <si>
    <t xml:space="preserve">Dự đoán: AdamW wd 0.01 ≈ Adam vì mô hình chưa quá khớp; betas=(0.9, 0.999), eps=1e-08</t>
  </si>
  <si>
    <t xml:space="preserve">opt-adamw-lr0.003</t>
  </si>
  <si>
    <t xml:space="preserve">AdamW wd=0.01, lr=0.003</t>
  </si>
  <si>
    <t xml:space="preserve">figures/opt-adamw-lr0.003.png</t>
  </si>
  <si>
    <t xml:space="preserve">opt-adamw-lr0.01</t>
  </si>
  <si>
    <t xml:space="preserve">AdamW wd=0.01, lr=0.01</t>
  </si>
  <si>
    <t xml:space="preserve">figures/opt-adamw-lr0.01.png</t>
  </si>
  <si>
    <t xml:space="preserve">opt-adamw-wd0-lr0.003</t>
  </si>
  <si>
    <t xml:space="preserve">AdamW weight_decay=0, lr=0.003 (kiểm chứng = Adam)</t>
  </si>
  <si>
    <t xml:space="preserve">figures/opt-adamw-wd0-lr0.003.png</t>
  </si>
  <si>
    <t xml:space="preserve">Dự đoán: AdamW với wd=0 trùng Adam cùng lr; betas=(0.9, 0.999), eps=1e-08</t>
  </si>
  <si>
    <t xml:space="preserve">opt-sgd-lr0.03</t>
  </si>
  <si>
    <t xml:space="preserve">SGD không momentum, lr=0.03</t>
  </si>
  <si>
    <t xml:space="preserve">SGD</t>
  </si>
  <si>
    <t xml:space="preserve">figures/opt-sgd-lr0.03.png</t>
  </si>
  <si>
    <t xml:space="preserve">Dự đoán: SGD thuần cần lr ~10x SGD+momentum; ở lr nhỏ học chậm</t>
  </si>
  <si>
    <t xml:space="preserve">opt-sgd-lr0.1</t>
  </si>
  <si>
    <t xml:space="preserve">SGD không momentum, lr=0.1</t>
  </si>
  <si>
    <t xml:space="preserve">figures/opt-sgd-lr0.1.png</t>
  </si>
  <si>
    <t xml:space="preserve">opt-sgd-lr0.3</t>
  </si>
  <si>
    <t xml:space="preserve">SGD không momentum, lr=0.3</t>
  </si>
  <si>
    <t xml:space="preserve">figures/opt-sgd-lr0.3.png</t>
  </si>
  <si>
    <t xml:space="preserve">opt-sgd-lr1</t>
  </si>
  <si>
    <t xml:space="preserve">SGD không momentum, lr=1</t>
  </si>
  <si>
    <t xml:space="preserve">figures/opt-sgd-lr1.png</t>
  </si>
  <si>
    <t xml:space="preserve">opt-sgd-lr3</t>
  </si>
  <si>
    <t xml:space="preserve">SGD không momentum, lr=3</t>
  </si>
  <si>
    <t xml:space="preserve">figures/opt-sgd-lr3.png</t>
  </si>
  <si>
    <t xml:space="preserve">drop-0.1</t>
  </si>
  <si>
    <t xml:space="preserve">dropout q=0.1 sau ReLU của 2 lớp ẩn</t>
  </si>
  <si>
    <t xml:space="preserve">figures/drop-0.1.png</t>
  </si>
  <si>
    <t xml:space="preserve">Dự đoán: baseline chưa khớp nên dropout không giúp; q lớn hại rõ hơn; momentum=0.9</t>
  </si>
  <si>
    <t xml:space="preserve">drop-0.3</t>
  </si>
  <si>
    <t xml:space="preserve">dropout q=0.3 sau ReLU của 2 lớp ẩn</t>
  </si>
  <si>
    <t xml:space="preserve">figures/drop-0.3.png</t>
  </si>
  <si>
    <t xml:space="preserve">clip-0.35</t>
  </si>
  <si>
    <t xml:space="preserve">clipping</t>
  </si>
  <si>
    <t xml:space="preserve">clip c=0.35 ở lr baseline 0.3</t>
  </si>
  <si>
    <t xml:space="preserve">figures/clip-0.35.png</t>
  </si>
  <si>
    <t xml:space="preserve">Dự đoán: clip kích hoạt ~nửa số bước, F1 trong nhiễu; momentum=0.9; clip kích hoạt ở 66.6% số bước (TB các epoch)</t>
  </si>
  <si>
    <t xml:space="preserve">clip-0.35-lr0.9</t>
  </si>
  <si>
    <t xml:space="preserve">clip c=0.35 ở lr 0.9</t>
  </si>
  <si>
    <t xml:space="preserve">figures/clip-0.35-lr0.9.png</t>
  </si>
  <si>
    <t xml:space="preserve">Dự đoán: clip chặn các gai gradient -&gt; tốt hơn bản không clip cùng lr; momentum=0.9; clip kích hoạt ở 1.8% số bước (TB các epoch)</t>
  </si>
  <si>
    <t xml:space="preserve">clip-0.35-lr3</t>
  </si>
  <si>
    <t xml:space="preserve">clip c=0.35 ở lr cao 3</t>
  </si>
  <si>
    <t xml:space="preserve">figures/clip-0.35-lr3.png</t>
  </si>
  <si>
    <t xml:space="preserve">Dự đoán: clip chặn độ dài bước -&gt; không phân kỳ; momentum=0.9; clip kích hoạt ở 3.3% số bước (TB các epoch)</t>
  </si>
  <si>
    <t xml:space="preserve">clip-none-lr0.9</t>
  </si>
  <si>
    <t xml:space="preserve">KHÔNG clip ở lr 0.9 (=3x baseline)</t>
  </si>
  <si>
    <t xml:space="preserve">figures/clip-none-lr0.9.png</t>
  </si>
  <si>
    <t xml:space="preserve">Dự đoán: lr x3 không clip -&gt; dao động, kém baseline; momentum=0.9</t>
  </si>
  <si>
    <t xml:space="preserve">clip-none-lr3</t>
  </si>
  <si>
    <t xml:space="preserve">KHÔNG clip ở lr cao 3 (=10x baseline)</t>
  </si>
  <si>
    <t xml:space="preserve">figures/clip-none-lr3.png</t>
  </si>
  <si>
    <t xml:space="preserve">Dự đoán: lr x10 không clip -&gt; phân kỳ (NaN) hoặc dao động mạnh; momentum=0.9</t>
  </si>
  <si>
    <t xml:space="preserve">amp-bf16</t>
  </si>
  <si>
    <t xml:space="preserve">amp</t>
  </si>
  <si>
    <t xml:space="preserve">BF16 autocast, không GradScaler (M-base)</t>
  </si>
  <si>
    <t xml:space="preserve">bf16</t>
  </si>
  <si>
    <t xml:space="preserve">figures/amp-bf16.png</t>
  </si>
  <si>
    <t xml:space="preserve">Dự đoán: metric trong nhiễu; chậm hơn nếu không có BF16 phần cứng; momentum=0.9</t>
  </si>
  <si>
    <t xml:space="preserve">amp-bf16-wide</t>
  </si>
  <si>
    <t xml:space="preserve">BF16 autocast trên M-wide (so với hp-wide)</t>
  </si>
  <si>
    <t xml:space="preserve">figures/amp-bf16-wide.png</t>
  </si>
  <si>
    <t xml:space="preserve">Dự đoán: metric trong nhiễu so với hp-wide; momentum=0.9</t>
  </si>
  <si>
    <t xml:space="preserve">amp-fp16</t>
  </si>
  <si>
    <t xml:space="preserve">FP16 autocast + GradScaler (M-base)</t>
  </si>
  <si>
    <t xml:space="preserve">fp16</t>
  </si>
  <si>
    <t xml:space="preserve">figures/amp-fp16.png</t>
  </si>
  <si>
    <t xml:space="preserve">Dự đoán: metric trong nhiễu, không nhanh hơn trên mạng nhỏ; momentum=0.9</t>
  </si>
  <si>
    <t xml:space="preserve">amp-fp16-wide</t>
  </si>
  <si>
    <t xml:space="preserve">FP16 autocast + GradScaler trên M-wide (so với hp-wide)</t>
  </si>
  <si>
    <t xml:space="preserve">figures/amp-fp16-wide.png</t>
  </si>
  <si>
    <t xml:space="preserve">Dự đoán: trên mạng rộng hơn FP16 có thể nhanh hơn chút; momentum=0.9</t>
  </si>
  <si>
    <t xml:space="preserve">init-default</t>
  </si>
  <si>
    <t xml:space="preserve">khởi tạo default (thay vì He)</t>
  </si>
  <si>
    <t xml:space="preserve">default</t>
  </si>
  <si>
    <t xml:space="preserve">figures/init-default.png</t>
  </si>
  <si>
    <t xml:space="preserve">Dự đoán: mặc định nn.Linear (Var 1/(3n_in)) ≈ He sau 20 epoch; momentum=0.9</t>
  </si>
  <si>
    <t xml:space="preserve">init-normal</t>
  </si>
  <si>
    <t xml:space="preserve">khởi tạo normal (thay vì He)</t>
  </si>
  <si>
    <t xml:space="preserve">normal</t>
  </si>
  <si>
    <t xml:space="preserve">figures/init-normal.png</t>
  </si>
  <si>
    <t xml:space="preserve">Dự đoán: N(0,0.01²): logits≈0, học chậm đầu, gần He sau 20 epoch; momentum=0.9</t>
  </si>
  <si>
    <t xml:space="preserve">init-xavier</t>
  </si>
  <si>
    <t xml:space="preserve">khởi tạo xavier (thay vì He)</t>
  </si>
  <si>
    <t xml:space="preserve">xavier</t>
  </si>
  <si>
    <t xml:space="preserve">figures/init-xavier.png</t>
  </si>
  <si>
    <t xml:space="preserve">Dự đoán: xavier_normal ≈ He ở mạng nông; momentum=0.9</t>
  </si>
  <si>
    <t xml:space="preserve">init-zeros</t>
  </si>
  <si>
    <t xml:space="preserve">khởi tạo zeros (thay vì He)</t>
  </si>
  <si>
    <t xml:space="preserve">zeros</t>
  </si>
  <si>
    <t xml:space="preserve">figures/init-zeros.png</t>
  </si>
  <si>
    <t xml:space="preserve">Dự đoán: đối xứng + ReLU(0)=0 -&gt; chỉ b3 học, đoán lớp đa số, acc≈0.4876; momentum=0.9</t>
  </si>
  <si>
    <t xml:space="preserve">final-cand-adam</t>
  </si>
  <si>
    <t xml:space="preserve">final</t>
  </si>
  <si>
    <t xml:space="preserve">Ứng viên cuối: M-wide + 40 epoch, Adam lr=0.003</t>
  </si>
  <si>
    <t xml:space="preserve">figures/final-cand-adam.png</t>
  </si>
  <si>
    <t xml:space="preserve">Vòng chọn cuối trên val (seed 1); kết hợp hp-wide + hp-epochs40 + Adam lr tốt nhất; betas=(0.9, 0.999), eps=1e-08</t>
  </si>
  <si>
    <t xml:space="preserve">final-cand-sgdm</t>
  </si>
  <si>
    <t xml:space="preserve">Ứng viên cuối: M-wide + 40 epoch, SGD+momentum lr=0.3</t>
  </si>
  <si>
    <t xml:space="preserve">figures/final-cand-sgdm.png</t>
  </si>
  <si>
    <t xml:space="preserve">Vòng chọn cuối trên val (seed 1); kết hợp hp-wide + hp-epochs40; momentum=0.9</t>
  </si>
  <si>
    <t xml:space="preserve">final-s1</t>
  </si>
  <si>
    <t xml:space="preserve">Cấu hình cuối: M-wide 54-512-256-7, 40 epoch, adam lr=0.003, batch 512, CE, He, FP32, seed 1</t>
  </si>
  <si>
    <t xml:space="preserve">figures/final-s1.png</t>
  </si>
  <si>
    <t xml:space="preserve">Cấu hình cuối, chọn bằng val (final-cand-adam thắng vòng chọn); đổi nhiều yếu tố có chủ đích; MÔ HÌNH NỘP; eval_* từ eval_result.json (scripts/evaluate.py); betas=(0.9, 0.999), eps=1e-08</t>
  </si>
  <si>
    <t xml:space="preserve">final-s2</t>
  </si>
  <si>
    <t xml:space="preserve">Cấu hình cuối: M-wide 54-512-256-7, 40 epoch, adam lr=0.003, batch 512, CE, He, FP32, seed 2</t>
  </si>
  <si>
    <t xml:space="preserve">figures/final-s2.png</t>
  </si>
  <si>
    <t xml:space="preserve">Cấu hình cuối, chọn bằng val (final-cand-adam thắng vòng chọn); đổi nhiều yếu tố có chủ đích; betas=(0.9, 0.999), eps=1e-08</t>
  </si>
  <si>
    <t xml:space="preserve">final-s3</t>
  </si>
  <si>
    <t xml:space="preserve">Cấu hình cuối: M-wide 54-512-256-7, 40 epoch, adam lr=0.003, batch 512, CE, He, FP32, seed 3</t>
  </si>
  <si>
    <t xml:space="preserve">figures/final-s3.png</t>
  </si>
  <si>
    <t xml:space="preserve">exp_id baseline (nhập)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</si>
  <si>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</si>
  <si>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</si>
  <si>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</si>
  <si>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</si>
  <si>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</si>
  <si>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</si>
  <si>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</si>
  <si>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</si>
  <si>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</si>
  <si>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</si>
  <si>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</si>
  <si>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</si>
  <si>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</si>
  <si>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3 seed: val F1 0.8607 ± 0.0030, 2σ = 0.0060; lr 0.3 chọn bằng val (lr-sgdm-*). Tốt nhất base-s3 (F1 0.8630, Δ +0.0023 vs TB baseline, trong 2σ=0.0060); kém nhất base-s1 (F1 0.8573); 0 lần phân kỳ. Diễn giải: REPORT.md.</t>
  </si>
  <si>
    <t xml:space="preserve">Tốt nhất loss-mse (F1 0.7726, Δ -0.0881 vs TB baseline, vượt 2σ=0.0060); kém nhất loss-mse-lr0.9 (F1 0.7485); 0 lần phân kỳ. Diễn giải: REPORT.md.</t>
  </si>
  <si>
    <t xml:space="preserve">Tốt nhất opt-adam-lr0.003 (F1 0.8677, Δ +0.0070 vs TB baseline, vượt 2σ=0.0060); kém nhất opt-sgd-lr3 (F1 0.6155); 0 lần phân kỳ. Diễn giải: REPORT.md.</t>
  </si>
  <si>
    <t xml:space="preserve">Tốt nhất hp-wide (F1 0.8747, Δ +0.0140 vs TB baseline, vượt 2σ=0.0060); kém nhất hp-batch2048-lr1.2 (F1 0.0936); 0 lần phân kỳ. Diễn giải: REPORT.md.</t>
  </si>
  <si>
    <t xml:space="preserve">Tốt nhất drop-0.1 (F1 0.8385, Δ -0.0222 vs TB baseline, vượt 2σ=0.0060); kém nhất drop-0.3 (F1 0.7824); 0 lần phân kỳ. Diễn giải: REPORT.md.</t>
  </si>
  <si>
    <t xml:space="preserve">Tốt nhất clip-0.35 (F1 0.8581, Δ -0.0026 vs TB baseline, trong 2σ=0.0060); kém nhất clip-none-lr3 (F1 0.0936); 0 lần phân kỳ. Diễn giải: REPORT.md.</t>
  </si>
  <si>
    <t xml:space="preserve">Tốt nhất amp-bf16-wide (F1 0.8760, Δ +0.0153 vs TB baseline, vượt 2σ=0.0060); kém nhất amp-bf16 (F1 0.8520); 0 lần phân kỳ. Diễn giải: REPORT.md.</t>
  </si>
  <si>
    <t xml:space="preserve">Tốt nhất init-default (F1 0.8637, Δ +0.0029 vs TB baseline, trong 2σ=0.0060); kém nhất init-zeros (F1 0.0936); 0 lần phân kỳ. Diễn giải: REPORT.md.</t>
  </si>
  <si>
    <t xml:space="preserve">Tốt nhất final-s3 (F1 0.9112, Δ +0.0505 vs TB baseline, vượt 2σ=0.0060); kém nhất final-cand-sgdm (F1 0.8952); 0 lần phân kỳ. Diễn giải: REPORT.md.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</si>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</sst>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12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3" t="s">
        <v>4</v>
      </c>
    </row>
    <row r="6" customFormat="false" ht="15" hidden="false" customHeight="true" outlineLevel="0" collapsed="false">
      <c r="A6" s="6" t="s">
        <v>5</v>
      </c>
      <c r="B6" s="3" t="s">
        <v>6</v>
      </c>
    </row>
    <row r="7" customFormat="false" ht="15" hidden="false" customHeight="true" outlineLevel="0" collapsed="false">
      <c r="A7" s="7" t="s">
        <v>3</v>
      </c>
      <c r="B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3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3" t="s">
        <v>13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8" t="s">
        <v>15</v>
      </c>
      <c r="B17" s="8" t="s">
        <v>16</v>
      </c>
      <c r="C17" s="8" t="s">
        <v>17</v>
      </c>
    </row>
    <row r="18" customFormat="false" ht="15" hidden="false" customHeight="true" outlineLevel="0" collapsed="false">
      <c r="A18" s="9" t="s">
        <v>18</v>
      </c>
      <c r="B18" s="10" t="s">
        <v>19</v>
      </c>
      <c r="C18" s="10" t="s">
        <v>20</v>
      </c>
    </row>
    <row r="19" customFormat="false" ht="23.25" hidden="false" customHeight="true" outlineLevel="0" collapsed="false">
      <c r="A19" s="9" t="s">
        <v>21</v>
      </c>
      <c r="B19" s="10" t="s">
        <v>22</v>
      </c>
      <c r="C19" s="10" t="s">
        <v>23</v>
      </c>
    </row>
    <row r="20" customFormat="false" ht="15" hidden="false" customHeight="true" outlineLevel="0" collapsed="false">
      <c r="A20" s="9" t="s">
        <v>24</v>
      </c>
      <c r="B20" s="10" t="s">
        <v>25</v>
      </c>
      <c r="C20" s="10" t="s">
        <v>26</v>
      </c>
    </row>
    <row r="21" customFormat="false" ht="15" hidden="false" customHeight="true" outlineLevel="0" collapsed="false">
      <c r="A21" s="9" t="s">
        <v>27</v>
      </c>
      <c r="B21" s="10" t="s">
        <v>28</v>
      </c>
      <c r="C21" s="10" t="s">
        <v>23</v>
      </c>
    </row>
    <row r="22" customFormat="false" ht="15" hidden="false" customHeight="true" outlineLevel="0" collapsed="false">
      <c r="A22" s="9" t="s">
        <v>29</v>
      </c>
      <c r="B22" s="10" t="s">
        <v>30</v>
      </c>
      <c r="C22" s="10" t="s">
        <v>23</v>
      </c>
    </row>
    <row r="23" customFormat="false" ht="15" hidden="false" customHeight="true" outlineLevel="0" collapsed="false">
      <c r="A23" s="9" t="s">
        <v>31</v>
      </c>
      <c r="B23" s="10" t="s">
        <v>32</v>
      </c>
      <c r="C23" s="10" t="s">
        <v>33</v>
      </c>
    </row>
    <row r="24" customFormat="false" ht="15" hidden="false" customHeight="true" outlineLevel="0" collapsed="false">
      <c r="A24" s="9" t="s">
        <v>34</v>
      </c>
      <c r="B24" s="10" t="s">
        <v>35</v>
      </c>
      <c r="C24" s="10" t="s">
        <v>36</v>
      </c>
    </row>
    <row r="25" customFormat="false" ht="15" hidden="false" customHeight="true" outlineLevel="0" collapsed="false">
      <c r="A25" s="9" t="s">
        <v>37</v>
      </c>
      <c r="B25" s="10" t="s">
        <v>38</v>
      </c>
      <c r="C25" s="10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  <c r="C26" s="10" t="s">
        <v>42</v>
      </c>
    </row>
    <row r="27" customFormat="false" ht="15" hidden="false" customHeight="true" outlineLevel="0" collapsed="false">
      <c r="A27" s="9" t="s">
        <v>43</v>
      </c>
      <c r="B27" s="10" t="s">
        <v>44</v>
      </c>
      <c r="C27" s="10" t="s">
        <v>45</v>
      </c>
    </row>
    <row r="28" customFormat="false" ht="15" hidden="false" customHeight="true" outlineLevel="0" collapsed="false">
      <c r="A28" s="9" t="s">
        <v>46</v>
      </c>
      <c r="B28" s="10" t="s">
        <v>47</v>
      </c>
      <c r="C28" s="10" t="s">
        <v>36</v>
      </c>
    </row>
    <row r="29" customFormat="false" ht="15" hidden="false" customHeight="true" outlineLevel="0" collapsed="false">
      <c r="A29" s="9" t="s">
        <v>48</v>
      </c>
      <c r="B29" s="10" t="s">
        <v>49</v>
      </c>
      <c r="C29" s="10" t="s">
        <v>50</v>
      </c>
    </row>
    <row r="30" customFormat="false" ht="15" hidden="false" customHeight="true" outlineLevel="0" collapsed="false">
      <c r="A30" s="9" t="s">
        <v>51</v>
      </c>
      <c r="B30" s="10" t="s">
        <v>52</v>
      </c>
      <c r="C30" s="10" t="s">
        <v>23</v>
      </c>
    </row>
    <row r="31" customFormat="false" ht="15" hidden="false" customHeight="true" outlineLevel="0" collapsed="false">
      <c r="A31" s="9" t="s">
        <v>53</v>
      </c>
      <c r="B31" s="10" t="s">
        <v>54</v>
      </c>
      <c r="C31" s="10" t="s">
        <v>55</v>
      </c>
    </row>
    <row r="32" customFormat="false" ht="15" hidden="false" customHeight="true" outlineLevel="0" collapsed="false">
      <c r="A32" s="9" t="s">
        <v>56</v>
      </c>
      <c r="B32" s="10" t="s">
        <v>57</v>
      </c>
      <c r="C32" s="10" t="s">
        <v>39</v>
      </c>
    </row>
    <row r="33" customFormat="false" ht="15" hidden="false" customHeight="true" outlineLevel="0" collapsed="false">
      <c r="A33" s="9" t="s">
        <v>58</v>
      </c>
      <c r="B33" s="10" t="s">
        <v>59</v>
      </c>
      <c r="C33" s="10" t="s">
        <v>60</v>
      </c>
    </row>
    <row r="34" customFormat="false" ht="15" hidden="false" customHeight="true" outlineLevel="0" collapsed="false">
      <c r="A34" s="9" t="s">
        <v>61</v>
      </c>
      <c r="B34" s="10" t="s">
        <v>62</v>
      </c>
      <c r="C34" s="10"/>
    </row>
    <row r="35" customFormat="false" ht="15" hidden="false" customHeight="true" outlineLevel="0" collapsed="false">
      <c r="A35" s="9" t="s">
        <v>63</v>
      </c>
      <c r="B35" s="10" t="s">
        <v>64</v>
      </c>
      <c r="C35" s="10" t="s">
        <v>65</v>
      </c>
    </row>
    <row r="36" customFormat="false" ht="15" hidden="false" customHeight="true" outlineLevel="0" collapsed="false">
      <c r="A36" s="9" t="s">
        <v>66</v>
      </c>
      <c r="B36" s="10" t="s">
        <v>67</v>
      </c>
      <c r="C36" s="10"/>
    </row>
    <row r="37" customFormat="false" ht="15" hidden="false" customHeight="true" outlineLevel="0" collapsed="false">
      <c r="A37" s="9" t="s">
        <v>68</v>
      </c>
      <c r="B37" s="10" t="s">
        <v>69</v>
      </c>
      <c r="C37" s="10"/>
    </row>
    <row r="38" customFormat="false" ht="15" hidden="false" customHeight="true" outlineLevel="0" collapsed="false">
      <c r="A38" s="9" t="s">
        <v>70</v>
      </c>
      <c r="B38" s="10" t="s">
        <v>71</v>
      </c>
      <c r="C38" s="10" t="s">
        <v>72</v>
      </c>
    </row>
    <row r="39" customFormat="false" ht="15" hidden="false" customHeight="true" outlineLevel="0" collapsed="false">
      <c r="A39" s="9" t="s">
        <v>73</v>
      </c>
      <c r="B39" s="10" t="s">
        <v>74</v>
      </c>
      <c r="C39" s="10" t="s">
        <v>75</v>
      </c>
    </row>
    <row r="40" customFormat="false" ht="15" hidden="false" customHeight="true" outlineLevel="0" collapsed="false">
      <c r="A40" s="9" t="s">
        <v>76</v>
      </c>
      <c r="B40" s="10" t="s">
        <v>77</v>
      </c>
      <c r="C40" s="10" t="s">
        <v>78</v>
      </c>
    </row>
    <row r="41" customFormat="false" ht="15" hidden="false" customHeight="true" outlineLevel="0" collapsed="false">
      <c r="A41" s="9" t="s">
        <v>79</v>
      </c>
      <c r="B41" s="10" t="s">
        <v>80</v>
      </c>
      <c r="C41" s="10" t="s">
        <v>81</v>
      </c>
    </row>
    <row r="42" customFormat="false" ht="15" hidden="false" customHeight="true" outlineLevel="0" collapsed="false">
      <c r="A42" s="9" t="s">
        <v>82</v>
      </c>
      <c r="B42" s="10" t="s">
        <v>83</v>
      </c>
      <c r="C42" s="10" t="s">
        <v>23</v>
      </c>
    </row>
    <row r="43" customFormat="false" ht="23.25" hidden="false" customHeight="true" outlineLevel="0" collapsed="false">
      <c r="A43" s="9" t="s">
        <v>84</v>
      </c>
      <c r="B43" s="10" t="s">
        <v>85</v>
      </c>
      <c r="C43" s="10" t="s">
        <v>86</v>
      </c>
    </row>
    <row r="44" customFormat="false" ht="23.25" hidden="false" customHeight="true" outlineLevel="0" collapsed="false">
      <c r="A44" s="9" t="s">
        <v>87</v>
      </c>
      <c r="B44" s="10" t="s">
        <v>88</v>
      </c>
      <c r="C44" s="10" t="s">
        <v>86</v>
      </c>
    </row>
    <row r="45" customFormat="false" ht="15" hidden="false" customHeight="true" outlineLevel="0" collapsed="false">
      <c r="A45" s="9" t="s">
        <v>89</v>
      </c>
      <c r="B45" s="10" t="s">
        <v>90</v>
      </c>
      <c r="C45" s="10" t="s">
        <v>91</v>
      </c>
    </row>
    <row r="46" customFormat="false" ht="15" hidden="false" customHeight="true" outlineLevel="0" collapsed="false">
      <c r="A46" s="9" t="s">
        <v>92</v>
      </c>
      <c r="B46" s="10" t="s">
        <v>93</v>
      </c>
      <c r="C46" s="10" t="s">
        <v>94</v>
      </c>
    </row>
    <row r="47" customFormat="false" ht="15" hidden="false" customHeight="true" outlineLevel="0" collapsed="false">
      <c r="A47" s="9" t="s">
        <v>95</v>
      </c>
      <c r="B47" s="10" t="s">
        <v>96</v>
      </c>
      <c r="C47" s="10" t="s">
        <v>97</v>
      </c>
    </row>
    <row r="48" customFormat="false" ht="15" hidden="false" customHeight="true" outlineLevel="0" collapsed="false">
      <c r="A48" s="9" t="s">
        <v>98</v>
      </c>
      <c r="B48" s="10" t="s">
        <v>99</v>
      </c>
      <c r="C48" s="10" t="s">
        <v>100</v>
      </c>
    </row>
    <row r="49" customFormat="false" ht="15" hidden="false" customHeight="true" outlineLevel="0" collapsed="false">
      <c r="A49" s="9" t="s">
        <v>101</v>
      </c>
      <c r="B49" s="10" t="s">
        <v>102</v>
      </c>
      <c r="C49" s="10" t="s">
        <v>103</v>
      </c>
    </row>
    <row r="50" customFormat="false" ht="15" hidden="false" customHeight="true" outlineLevel="0" collapsed="false">
      <c r="A50" s="9" t="s">
        <v>104</v>
      </c>
      <c r="B50" s="10" t="s">
        <v>105</v>
      </c>
      <c r="C50" s="10" t="s">
        <v>106</v>
      </c>
    </row>
    <row r="52" customFormat="false" ht="15" hidden="false" customHeight="true" outlineLevel="0" collapsed="false">
      <c r="A52" s="4" t="s">
        <v>107</v>
      </c>
    </row>
    <row r="53" customFormat="false" ht="23.25" hidden="false" customHeight="true" outlineLevel="0" collapsed="false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customFormat="false" ht="15" hidden="false" customHeight="true" outlineLevel="0" collapsed="false">
      <c r="A54" s="12" t="s">
        <v>108</v>
      </c>
      <c r="B54" s="12" t="s">
        <v>29</v>
      </c>
      <c r="C54" s="12" t="s">
        <v>109</v>
      </c>
      <c r="D54" s="12" t="n">
        <v>0.001</v>
      </c>
      <c r="E54" s="12" t="n">
        <v>1.95</v>
      </c>
      <c r="F54" s="12" t="n">
        <v>0.6</v>
      </c>
      <c r="G54" s="12" t="n">
        <v>18</v>
      </c>
      <c r="H54" s="12" t="n">
        <v>0.75</v>
      </c>
      <c r="I54" s="12" t="n">
        <v>0.65</v>
      </c>
      <c r="J54" s="12" t="n">
        <v>2.1</v>
      </c>
      <c r="K54" s="12" t="s">
        <v>110</v>
      </c>
      <c r="L54" s="12" t="s">
        <v>111</v>
      </c>
    </row>
    <row r="56" customFormat="false" ht="15" hidden="false" customHeight="true" outlineLevel="0" collapsed="false">
      <c r="A56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9" min="8" style="1" width="7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20" min="19" style="1" width="10"/>
    <col collapsed="false" customWidth="true" hidden="false" outlineLevel="0" max="22" min="21" style="1" width="9"/>
    <col collapsed="false" customWidth="true" hidden="false" outlineLevel="0" max="23" min="23" style="1" width="10"/>
    <col collapsed="false" customWidth="true" hidden="false" outlineLevel="0" max="27" min="24" style="1" width="9"/>
    <col collapsed="false" customWidth="true" hidden="false" outlineLevel="0" max="28" min="28" style="1" width="22"/>
    <col collapsed="false" customWidth="true" hidden="false" outlineLevel="0" max="29" min="29" style="1" width="36"/>
    <col collapsed="false" customWidth="true" hidden="false" outlineLevel="0" max="32" min="30" style="1" width="10"/>
    <col collapsed="false" customWidth="true" hidden="false" outlineLevel="0" max="33" min="33" style="1" width="9"/>
  </cols>
  <sheetData>
    <row r="1" customFormat="false" ht="42" hidden="false" customHeight="true" outlineLevel="0" collapsed="false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customFormat="false" ht="15" hidden="false" customHeight="true" outlineLevel="0" collapsed="false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  <c r="F2" s="14" t="n">
        <v>0.3</v>
      </c>
      <c r="G2" s="13" t="n">
        <v>0</v>
      </c>
      <c r="H2" s="13" t="n">
        <v>512</v>
      </c>
      <c r="I2" s="13" t="n">
        <v>20</v>
      </c>
      <c r="J2" s="13" t="s">
        <v>118</v>
      </c>
      <c r="K2" s="13" t="n">
        <v>0</v>
      </c>
      <c r="L2" s="13" t="s">
        <v>119</v>
      </c>
      <c r="M2" s="13" t="s">
        <v>120</v>
      </c>
      <c r="N2" s="13" t="s">
        <v>121</v>
      </c>
      <c r="O2" s="13" t="n">
        <v>1</v>
      </c>
      <c r="P2" s="15" t="n">
        <v>2.269062</v>
      </c>
      <c r="Q2" s="15" t="n">
        <v>0.231815</v>
      </c>
      <c r="R2" s="14" t="n">
        <v>19</v>
      </c>
      <c r="S2" s="15" t="n">
        <v>0.205668</v>
      </c>
      <c r="T2" s="15" t="n">
        <v>0.233869</v>
      </c>
      <c r="U2" s="15" t="n">
        <v>0.908974</v>
      </c>
      <c r="V2" s="15" t="n">
        <v>0.857346</v>
      </c>
      <c r="W2" s="14" t="n">
        <v>1.27</v>
      </c>
      <c r="X2" s="14" t="n">
        <v>17.9</v>
      </c>
      <c r="Y2" s="14" t="s">
        <v>110</v>
      </c>
      <c r="Z2" s="15" t="n">
        <v>0.908927</v>
      </c>
      <c r="AA2" s="15" t="n">
        <v>0.856457</v>
      </c>
      <c r="AB2" s="14" t="s">
        <v>122</v>
      </c>
      <c r="AC2" s="14" t="s">
        <v>123</v>
      </c>
      <c r="AD2" s="16" t="n">
        <f aca="false">IF(P2="","",P2-LN(7))</f>
        <v>0.323151850944687</v>
      </c>
      <c r="AE2" s="16" t="n">
        <f aca="false">IF(OR(T2="",S2=""),"",T2-S2)</f>
        <v>0.028201</v>
      </c>
      <c r="AF2" s="16" t="n">
        <f aca="false">IF(OR(V2="",Seeds!$C$8=""),"",V2-Seeds!$C$8)</f>
        <v>-0.00336233333333325</v>
      </c>
      <c r="AG2" s="16" t="str">
        <f aca="false">IF(OR(AF2="",Seeds!$C$10=""),"",IF(ABS(AF2)&gt;Seeds!$C$10,"Có","Không"))</f>
        <v>Không</v>
      </c>
    </row>
    <row r="3" customFormat="false" ht="15" hidden="false" customHeight="true" outlineLevel="0" collapsed="false">
      <c r="A3" s="14" t="s">
        <v>124</v>
      </c>
      <c r="B3" s="14" t="s">
        <v>114</v>
      </c>
      <c r="C3" s="14" t="s">
        <v>125</v>
      </c>
      <c r="D3" s="14" t="s">
        <v>116</v>
      </c>
      <c r="E3" s="14" t="s">
        <v>117</v>
      </c>
      <c r="F3" s="14" t="n">
        <v>0.3</v>
      </c>
      <c r="G3" s="14" t="n">
        <v>0</v>
      </c>
      <c r="H3" s="14" t="n">
        <v>512</v>
      </c>
      <c r="I3" s="14" t="n">
        <v>20</v>
      </c>
      <c r="J3" s="14" t="s">
        <v>118</v>
      </c>
      <c r="K3" s="14" t="n">
        <v>0</v>
      </c>
      <c r="L3" s="14" t="s">
        <v>119</v>
      </c>
      <c r="M3" s="14" t="s">
        <v>120</v>
      </c>
      <c r="N3" s="14" t="s">
        <v>121</v>
      </c>
      <c r="O3" s="14" t="n">
        <v>2</v>
      </c>
      <c r="P3" s="15" t="n">
        <v>1.978157</v>
      </c>
      <c r="Q3" s="15" t="n">
        <v>0.214488</v>
      </c>
      <c r="R3" s="14" t="n">
        <v>16</v>
      </c>
      <c r="S3" s="15" t="n">
        <v>0.196367</v>
      </c>
      <c r="T3" s="15" t="n">
        <v>0.22513</v>
      </c>
      <c r="U3" s="15" t="n">
        <v>0.914352</v>
      </c>
      <c r="V3" s="15" t="n">
        <v>0.861767</v>
      </c>
      <c r="W3" s="14" t="n">
        <v>1.326</v>
      </c>
      <c r="X3" s="14" t="n">
        <v>17.9</v>
      </c>
      <c r="Y3" s="14" t="s">
        <v>110</v>
      </c>
      <c r="Z3" s="15"/>
      <c r="AA3" s="15"/>
      <c r="AB3" s="14" t="s">
        <v>126</v>
      </c>
      <c r="AC3" s="14" t="s">
        <v>127</v>
      </c>
      <c r="AD3" s="16" t="n">
        <f aca="false">IF(P3="","",P3-LN(7))</f>
        <v>0.0322468509446867</v>
      </c>
      <c r="AE3" s="16" t="n">
        <f aca="false">IF(OR(T3="",S3=""),"",T3-S3)</f>
        <v>0.028763</v>
      </c>
      <c r="AF3" s="16" t="n">
        <f aca="false">IF(OR(V3="",Seeds!$C$8=""),"",V3-Seeds!$C$8)</f>
        <v>0.00105866666666665</v>
      </c>
      <c r="AG3" s="16" t="str">
        <f aca="false">IF(OR(AF3="",Seeds!$C$10=""),"",IF(ABS(AF3)&gt;Seeds!$C$10,"Có","Không"))</f>
        <v>Không</v>
      </c>
    </row>
    <row r="4" customFormat="false" ht="15" hidden="false" customHeight="true" outlineLevel="0" collapsed="false">
      <c r="A4" s="14" t="s">
        <v>128</v>
      </c>
      <c r="B4" s="14" t="s">
        <v>114</v>
      </c>
      <c r="C4" s="14" t="s">
        <v>129</v>
      </c>
      <c r="D4" s="14" t="s">
        <v>116</v>
      </c>
      <c r="E4" s="14" t="s">
        <v>117</v>
      </c>
      <c r="F4" s="14" t="n">
        <v>0.3</v>
      </c>
      <c r="G4" s="14" t="n">
        <v>0</v>
      </c>
      <c r="H4" s="14" t="n">
        <v>512</v>
      </c>
      <c r="I4" s="14" t="n">
        <v>20</v>
      </c>
      <c r="J4" s="14" t="s">
        <v>118</v>
      </c>
      <c r="K4" s="14" t="n">
        <v>0</v>
      </c>
      <c r="L4" s="14" t="s">
        <v>119</v>
      </c>
      <c r="M4" s="14" t="s">
        <v>120</v>
      </c>
      <c r="N4" s="14" t="s">
        <v>121</v>
      </c>
      <c r="O4" s="14" t="n">
        <v>3</v>
      </c>
      <c r="P4" s="15" t="n">
        <v>1.90054</v>
      </c>
      <c r="Q4" s="15" t="n">
        <v>0.220792</v>
      </c>
      <c r="R4" s="14" t="n">
        <v>18</v>
      </c>
      <c r="S4" s="15" t="n">
        <v>0.208702</v>
      </c>
      <c r="T4" s="15" t="n">
        <v>0.233691</v>
      </c>
      <c r="U4" s="15" t="n">
        <v>0.912072</v>
      </c>
      <c r="V4" s="15" t="n">
        <v>0.863012</v>
      </c>
      <c r="W4" s="14" t="n">
        <v>1.305</v>
      </c>
      <c r="X4" s="14" t="n">
        <v>17.9</v>
      </c>
      <c r="Y4" s="14" t="s">
        <v>110</v>
      </c>
      <c r="Z4" s="15"/>
      <c r="AA4" s="15"/>
      <c r="AB4" s="14" t="s">
        <v>130</v>
      </c>
      <c r="AC4" s="14" t="s">
        <v>127</v>
      </c>
      <c r="AD4" s="16" t="n">
        <f aca="false">IF(P4="","",P4-LN(7))</f>
        <v>-0.0453701490553133</v>
      </c>
      <c r="AE4" s="16" t="n">
        <f aca="false">IF(OR(T4="",S4=""),"",T4-S4)</f>
        <v>0.024989</v>
      </c>
      <c r="AF4" s="16" t="n">
        <f aca="false">IF(OR(V4="",Seeds!$C$8=""),"",V4-Seeds!$C$8)</f>
        <v>0.0023036666666667</v>
      </c>
      <c r="AG4" s="16" t="str">
        <f aca="false">IF(OR(AF4="",Seeds!$C$10=""),"",IF(ABS(AF4)&gt;Seeds!$C$10,"Có","Không"))</f>
        <v>Không</v>
      </c>
    </row>
    <row r="5" customFormat="false" ht="15" hidden="false" customHeight="true" outlineLevel="0" collapsed="false">
      <c r="A5" s="14" t="s">
        <v>131</v>
      </c>
      <c r="B5" s="14" t="s">
        <v>132</v>
      </c>
      <c r="C5" s="14" t="s">
        <v>133</v>
      </c>
      <c r="D5" s="14" t="s">
        <v>116</v>
      </c>
      <c r="E5" s="14" t="s">
        <v>117</v>
      </c>
      <c r="F5" s="14" t="n">
        <v>0.3</v>
      </c>
      <c r="G5" s="14" t="n">
        <v>0</v>
      </c>
      <c r="H5" s="14" t="n">
        <v>128</v>
      </c>
      <c r="I5" s="14" t="n">
        <v>20</v>
      </c>
      <c r="J5" s="14" t="s">
        <v>118</v>
      </c>
      <c r="K5" s="14" t="n">
        <v>0</v>
      </c>
      <c r="L5" s="14" t="s">
        <v>119</v>
      </c>
      <c r="M5" s="14" t="s">
        <v>120</v>
      </c>
      <c r="N5" s="14" t="s">
        <v>121</v>
      </c>
      <c r="O5" s="14" t="n">
        <v>1</v>
      </c>
      <c r="P5" s="15" t="n">
        <v>2.269062</v>
      </c>
      <c r="Q5" s="15" t="n">
        <v>0.320918</v>
      </c>
      <c r="R5" s="14" t="n">
        <v>14</v>
      </c>
      <c r="S5" s="15" t="n">
        <v>0.304445</v>
      </c>
      <c r="T5" s="15" t="n">
        <v>0.324485</v>
      </c>
      <c r="U5" s="15" t="n">
        <v>0.874895</v>
      </c>
      <c r="V5" s="15" t="n">
        <v>0.795113</v>
      </c>
      <c r="W5" s="14" t="n">
        <v>4.968</v>
      </c>
      <c r="X5" s="14" t="n">
        <v>17.9</v>
      </c>
      <c r="Y5" s="14" t="s">
        <v>110</v>
      </c>
      <c r="Z5" s="15"/>
      <c r="AA5" s="15"/>
      <c r="AB5" s="14" t="s">
        <v>134</v>
      </c>
      <c r="AC5" s="14" t="s">
        <v>135</v>
      </c>
      <c r="AD5" s="16" t="n">
        <f aca="false">IF(P5="","",P5-LN(7))</f>
        <v>0.323151850944687</v>
      </c>
      <c r="AE5" s="16" t="n">
        <f aca="false">IF(OR(T5="",S5=""),"",T5-S5)</f>
        <v>0.02004</v>
      </c>
      <c r="AF5" s="16" t="n">
        <f aca="false">IF(OR(V5="",Seeds!$C$8=""),"",V5-Seeds!$C$8)</f>
        <v>-0.0655953333333333</v>
      </c>
      <c r="AG5" s="16" t="str">
        <f aca="false">IF(OR(AF5="",Seeds!$C$10=""),"",IF(ABS(AF5)&gt;Seeds!$C$10,"Có","Không"))</f>
        <v>Có</v>
      </c>
    </row>
    <row r="6" customFormat="false" ht="15" hidden="false" customHeight="true" outlineLevel="0" collapsed="false">
      <c r="A6" s="14" t="s">
        <v>136</v>
      </c>
      <c r="B6" s="14" t="s">
        <v>132</v>
      </c>
      <c r="C6" s="14" t="s">
        <v>137</v>
      </c>
      <c r="D6" s="14" t="s">
        <v>116</v>
      </c>
      <c r="E6" s="14" t="s">
        <v>117</v>
      </c>
      <c r="F6" s="14" t="n">
        <v>0.075</v>
      </c>
      <c r="G6" s="14" t="n">
        <v>0</v>
      </c>
      <c r="H6" s="14" t="n">
        <v>128</v>
      </c>
      <c r="I6" s="14" t="n">
        <v>20</v>
      </c>
      <c r="J6" s="14" t="s">
        <v>118</v>
      </c>
      <c r="K6" s="14" t="n">
        <v>0</v>
      </c>
      <c r="L6" s="14" t="s">
        <v>119</v>
      </c>
      <c r="M6" s="14" t="s">
        <v>120</v>
      </c>
      <c r="N6" s="14" t="s">
        <v>121</v>
      </c>
      <c r="O6" s="14" t="n">
        <v>1</v>
      </c>
      <c r="P6" s="15" t="n">
        <v>2.269062</v>
      </c>
      <c r="Q6" s="15" t="n">
        <v>0.214853</v>
      </c>
      <c r="R6" s="14" t="n">
        <v>20</v>
      </c>
      <c r="S6" s="15" t="n">
        <v>0.187171</v>
      </c>
      <c r="T6" s="15" t="n">
        <v>0.214853</v>
      </c>
      <c r="U6" s="15" t="n">
        <v>0.916073</v>
      </c>
      <c r="V6" s="15" t="n">
        <v>0.864677</v>
      </c>
      <c r="W6" s="14" t="n">
        <v>4.998</v>
      </c>
      <c r="X6" s="14" t="n">
        <v>17.9</v>
      </c>
      <c r="Y6" s="14" t="s">
        <v>110</v>
      </c>
      <c r="Z6" s="15"/>
      <c r="AA6" s="15"/>
      <c r="AB6" s="14" t="s">
        <v>138</v>
      </c>
      <c r="AC6" s="14" t="s">
        <v>139</v>
      </c>
      <c r="AD6" s="16" t="n">
        <f aca="false">IF(P6="","",P6-LN(7))</f>
        <v>0.323151850944687</v>
      </c>
      <c r="AE6" s="16" t="n">
        <f aca="false">IF(OR(T6="",S6=""),"",T6-S6)</f>
        <v>0.027682</v>
      </c>
      <c r="AF6" s="16" t="n">
        <f aca="false">IF(OR(V6="",Seeds!$C$8=""),"",V6-Seeds!$C$8)</f>
        <v>0.00396866666666673</v>
      </c>
      <c r="AG6" s="16" t="str">
        <f aca="false">IF(OR(AF6="",Seeds!$C$10=""),"",IF(ABS(AF6)&gt;Seeds!$C$10,"Có","Không"))</f>
        <v>Không</v>
      </c>
    </row>
    <row r="7" customFormat="false" ht="15" hidden="false" customHeight="true" outlineLevel="0" collapsed="false">
      <c r="A7" s="14" t="s">
        <v>140</v>
      </c>
      <c r="B7" s="14" t="s">
        <v>132</v>
      </c>
      <c r="C7" s="14" t="s">
        <v>141</v>
      </c>
      <c r="D7" s="14" t="s">
        <v>116</v>
      </c>
      <c r="E7" s="14" t="s">
        <v>117</v>
      </c>
      <c r="F7" s="14" t="n">
        <v>0.3</v>
      </c>
      <c r="G7" s="14" t="n">
        <v>0</v>
      </c>
      <c r="H7" s="14" t="n">
        <v>2048</v>
      </c>
      <c r="I7" s="14" t="n">
        <v>20</v>
      </c>
      <c r="J7" s="14" t="s">
        <v>118</v>
      </c>
      <c r="K7" s="14" t="n">
        <v>0</v>
      </c>
      <c r="L7" s="14" t="s">
        <v>119</v>
      </c>
      <c r="M7" s="14" t="s">
        <v>120</v>
      </c>
      <c r="N7" s="14" t="s">
        <v>121</v>
      </c>
      <c r="O7" s="14" t="n">
        <v>1</v>
      </c>
      <c r="P7" s="15" t="n">
        <v>2.269062</v>
      </c>
      <c r="Q7" s="15" t="n">
        <v>0.243681</v>
      </c>
      <c r="R7" s="14" t="n">
        <v>18</v>
      </c>
      <c r="S7" s="15" t="n">
        <v>0.226752</v>
      </c>
      <c r="T7" s="15" t="n">
        <v>0.246063</v>
      </c>
      <c r="U7" s="15" t="n">
        <v>0.901422</v>
      </c>
      <c r="V7" s="15" t="n">
        <v>0.833818</v>
      </c>
      <c r="W7" s="14" t="n">
        <v>0.331</v>
      </c>
      <c r="X7" s="14" t="n">
        <v>18.2</v>
      </c>
      <c r="Y7" s="14" t="s">
        <v>110</v>
      </c>
      <c r="Z7" s="15"/>
      <c r="AA7" s="15"/>
      <c r="AB7" s="14" t="s">
        <v>142</v>
      </c>
      <c r="AC7" s="14" t="s">
        <v>143</v>
      </c>
      <c r="AD7" s="16" t="n">
        <f aca="false">IF(P7="","",P7-LN(7))</f>
        <v>0.323151850944687</v>
      </c>
      <c r="AE7" s="16" t="n">
        <f aca="false">IF(OR(T7="",S7=""),"",T7-S7)</f>
        <v>0.019311</v>
      </c>
      <c r="AF7" s="16" t="n">
        <f aca="false">IF(OR(V7="",Seeds!$C$8=""),"",V7-Seeds!$C$8)</f>
        <v>-0.0268903333333334</v>
      </c>
      <c r="AG7" s="16" t="str">
        <f aca="false">IF(OR(AF7="",Seeds!$C$10=""),"",IF(ABS(AF7)&gt;Seeds!$C$10,"Có","Không"))</f>
        <v>Có</v>
      </c>
    </row>
    <row r="8" customFormat="false" ht="15" hidden="false" customHeight="true" outlineLevel="0" collapsed="false">
      <c r="A8" s="14" t="s">
        <v>144</v>
      </c>
      <c r="B8" s="14" t="s">
        <v>132</v>
      </c>
      <c r="C8" s="14" t="s">
        <v>145</v>
      </c>
      <c r="D8" s="14" t="s">
        <v>116</v>
      </c>
      <c r="E8" s="14" t="s">
        <v>117</v>
      </c>
      <c r="F8" s="14" t="n">
        <v>1.2</v>
      </c>
      <c r="G8" s="14" t="n">
        <v>0</v>
      </c>
      <c r="H8" s="14" t="n">
        <v>2048</v>
      </c>
      <c r="I8" s="14" t="n">
        <v>20</v>
      </c>
      <c r="J8" s="14" t="s">
        <v>118</v>
      </c>
      <c r="K8" s="14" t="n">
        <v>0</v>
      </c>
      <c r="L8" s="14" t="s">
        <v>119</v>
      </c>
      <c r="M8" s="14" t="s">
        <v>120</v>
      </c>
      <c r="N8" s="14" t="s">
        <v>121</v>
      </c>
      <c r="O8" s="14" t="n">
        <v>1</v>
      </c>
      <c r="P8" s="15" t="n">
        <v>2.269062</v>
      </c>
      <c r="Q8" s="15" t="n">
        <v>1.20523</v>
      </c>
      <c r="R8" s="14" t="n">
        <v>11</v>
      </c>
      <c r="S8" s="15" t="n">
        <v>1.203598</v>
      </c>
      <c r="T8" s="15" t="n">
        <v>1.205335</v>
      </c>
      <c r="U8" s="15" t="n">
        <v>0.487597</v>
      </c>
      <c r="V8" s="15" t="n">
        <v>0.09365</v>
      </c>
      <c r="W8" s="14" t="n">
        <v>0.327</v>
      </c>
      <c r="X8" s="14" t="n">
        <v>18.2</v>
      </c>
      <c r="Y8" s="14" t="s">
        <v>110</v>
      </c>
      <c r="Z8" s="15"/>
      <c r="AA8" s="15"/>
      <c r="AB8" s="14" t="s">
        <v>146</v>
      </c>
      <c r="AC8" s="14" t="s">
        <v>147</v>
      </c>
      <c r="AD8" s="16" t="n">
        <f aca="false">IF(P8="","",P8-LN(7))</f>
        <v>0.323151850944687</v>
      </c>
      <c r="AE8" s="16" t="n">
        <f aca="false">IF(OR(T8="",S8=""),"",T8-S8)</f>
        <v>0.0017370000000001</v>
      </c>
      <c r="AF8" s="16" t="n">
        <f aca="false">IF(OR(V8="",Seeds!$C$8=""),"",V8-Seeds!$C$8)</f>
        <v>-0.767058333333333</v>
      </c>
      <c r="AG8" s="16" t="str">
        <f aca="false">IF(OR(AF8="",Seeds!$C$10=""),"",IF(ABS(AF8)&gt;Seeds!$C$10,"Có","Không"))</f>
        <v>Có</v>
      </c>
    </row>
    <row r="9" customFormat="false" ht="15" hidden="false" customHeight="true" outlineLevel="0" collapsed="false">
      <c r="A9" s="14" t="s">
        <v>148</v>
      </c>
      <c r="B9" s="14" t="s">
        <v>132</v>
      </c>
      <c r="C9" s="14" t="s">
        <v>149</v>
      </c>
      <c r="D9" s="14" t="s">
        <v>116</v>
      </c>
      <c r="E9" s="14" t="s">
        <v>117</v>
      </c>
      <c r="F9" s="14" t="n">
        <v>0.3</v>
      </c>
      <c r="G9" s="14" t="n">
        <v>0</v>
      </c>
      <c r="H9" s="14" t="n">
        <v>512</v>
      </c>
      <c r="I9" s="14" t="n">
        <v>20</v>
      </c>
      <c r="J9" s="14" t="s">
        <v>150</v>
      </c>
      <c r="K9" s="14" t="n">
        <v>0</v>
      </c>
      <c r="L9" s="14" t="s">
        <v>119</v>
      </c>
      <c r="M9" s="14" t="s">
        <v>120</v>
      </c>
      <c r="N9" s="14" t="s">
        <v>121</v>
      </c>
      <c r="O9" s="14" t="n">
        <v>1</v>
      </c>
      <c r="P9" s="15" t="n">
        <v>1.909942</v>
      </c>
      <c r="Q9" s="15" t="n">
        <v>0.215104</v>
      </c>
      <c r="R9" s="14" t="n">
        <v>19</v>
      </c>
      <c r="S9" s="15" t="n">
        <v>0.205666</v>
      </c>
      <c r="T9" s="15" t="n">
        <v>0.233428</v>
      </c>
      <c r="U9" s="15" t="n">
        <v>0.913362</v>
      </c>
      <c r="V9" s="15" t="n">
        <v>0.853521</v>
      </c>
      <c r="W9" s="14" t="n">
        <v>1.383</v>
      </c>
      <c r="X9" s="14" t="n">
        <v>18.1</v>
      </c>
      <c r="Y9" s="14" t="s">
        <v>110</v>
      </c>
      <c r="Z9" s="15"/>
      <c r="AA9" s="15"/>
      <c r="AB9" s="14" t="s">
        <v>151</v>
      </c>
      <c r="AC9" s="14" t="s">
        <v>152</v>
      </c>
      <c r="AD9" s="16" t="n">
        <f aca="false">IF(P9="","",P9-LN(7))</f>
        <v>-0.0359681490553132</v>
      </c>
      <c r="AE9" s="16" t="n">
        <f aca="false">IF(OR(T9="",S9=""),"",T9-S9)</f>
        <v>0.027762</v>
      </c>
      <c r="AF9" s="16" t="n">
        <f aca="false">IF(OR(V9="",Seeds!$C$8=""),"",V9-Seeds!$C$8)</f>
        <v>-0.00718733333333332</v>
      </c>
      <c r="AG9" s="16" t="str">
        <f aca="false">IF(OR(AF9="",Seeds!$C$10=""),"",IF(ABS(AF9)&gt;Seeds!$C$10,"Có","Không"))</f>
        <v>Có</v>
      </c>
    </row>
    <row r="10" customFormat="false" ht="15" hidden="false" customHeight="true" outlineLevel="0" collapsed="false">
      <c r="A10" s="14" t="s">
        <v>153</v>
      </c>
      <c r="B10" s="14" t="s">
        <v>132</v>
      </c>
      <c r="C10" s="14" t="s">
        <v>154</v>
      </c>
      <c r="D10" s="14" t="s">
        <v>116</v>
      </c>
      <c r="E10" s="14" t="s">
        <v>117</v>
      </c>
      <c r="F10" s="14" t="n">
        <v>0.3</v>
      </c>
      <c r="G10" s="14" t="n">
        <v>0</v>
      </c>
      <c r="H10" s="14" t="n">
        <v>512</v>
      </c>
      <c r="I10" s="14" t="n">
        <v>40</v>
      </c>
      <c r="J10" s="14" t="s">
        <v>118</v>
      </c>
      <c r="K10" s="14" t="n">
        <v>0</v>
      </c>
      <c r="L10" s="14" t="s">
        <v>119</v>
      </c>
      <c r="M10" s="14" t="s">
        <v>120</v>
      </c>
      <c r="N10" s="14" t="s">
        <v>121</v>
      </c>
      <c r="O10" s="14" t="n">
        <v>1</v>
      </c>
      <c r="P10" s="15" t="n">
        <v>2.269062</v>
      </c>
      <c r="Q10" s="15" t="n">
        <v>0.199477</v>
      </c>
      <c r="R10" s="14" t="n">
        <v>32</v>
      </c>
      <c r="S10" s="15" t="n">
        <v>0.172186</v>
      </c>
      <c r="T10" s="15" t="n">
        <v>0.207861</v>
      </c>
      <c r="U10" s="15" t="n">
        <v>0.923151</v>
      </c>
      <c r="V10" s="15" t="n">
        <v>0.873281</v>
      </c>
      <c r="W10" s="14" t="n">
        <v>1.247</v>
      </c>
      <c r="X10" s="14" t="n">
        <v>17.9</v>
      </c>
      <c r="Y10" s="14" t="s">
        <v>110</v>
      </c>
      <c r="Z10" s="15"/>
      <c r="AA10" s="15"/>
      <c r="AB10" s="14" t="s">
        <v>155</v>
      </c>
      <c r="AC10" s="14" t="s">
        <v>156</v>
      </c>
      <c r="AD10" s="16" t="n">
        <f aca="false">IF(P10="","",P10-LN(7))</f>
        <v>0.323151850944687</v>
      </c>
      <c r="AE10" s="16" t="n">
        <f aca="false">IF(OR(T10="",S10=""),"",T10-S10)</f>
        <v>0.035675</v>
      </c>
      <c r="AF10" s="16" t="n">
        <f aca="false">IF(OR(V10="",Seeds!$C$8=""),"",V10-Seeds!$C$8)</f>
        <v>0.0125726666666667</v>
      </c>
      <c r="AG10" s="16" t="str">
        <f aca="false">IF(OR(AF10="",Seeds!$C$10=""),"",IF(ABS(AF10)&gt;Seeds!$C$10,"Có","Không"))</f>
        <v>Có</v>
      </c>
    </row>
    <row r="11" customFormat="false" ht="15" hidden="false" customHeight="true" outlineLevel="0" collapsed="false">
      <c r="A11" s="14" t="s">
        <v>157</v>
      </c>
      <c r="B11" s="14" t="s">
        <v>132</v>
      </c>
      <c r="C11" s="14" t="s">
        <v>158</v>
      </c>
      <c r="D11" s="14" t="s">
        <v>116</v>
      </c>
      <c r="E11" s="14" t="s">
        <v>117</v>
      </c>
      <c r="F11" s="14" t="n">
        <v>0.3</v>
      </c>
      <c r="G11" s="14" t="n">
        <v>0.0001</v>
      </c>
      <c r="H11" s="14" t="n">
        <v>512</v>
      </c>
      <c r="I11" s="14" t="n">
        <v>20</v>
      </c>
      <c r="J11" s="14" t="s">
        <v>118</v>
      </c>
      <c r="K11" s="14" t="n">
        <v>0</v>
      </c>
      <c r="L11" s="14" t="s">
        <v>119</v>
      </c>
      <c r="M11" s="14" t="s">
        <v>120</v>
      </c>
      <c r="N11" s="14" t="s">
        <v>121</v>
      </c>
      <c r="O11" s="14" t="n">
        <v>1</v>
      </c>
      <c r="P11" s="15" t="n">
        <v>2.269062</v>
      </c>
      <c r="Q11" s="15" t="n">
        <v>0.282323</v>
      </c>
      <c r="R11" s="14" t="n">
        <v>18</v>
      </c>
      <c r="S11" s="15" t="n">
        <v>0.269345</v>
      </c>
      <c r="T11" s="15" t="n">
        <v>0.283794</v>
      </c>
      <c r="U11" s="15" t="n">
        <v>0.88534</v>
      </c>
      <c r="V11" s="15" t="n">
        <v>0.81229</v>
      </c>
      <c r="W11" s="14" t="n">
        <v>1.279</v>
      </c>
      <c r="X11" s="14" t="n">
        <v>17.9</v>
      </c>
      <c r="Y11" s="14" t="s">
        <v>110</v>
      </c>
      <c r="Z11" s="15"/>
      <c r="AA11" s="15"/>
      <c r="AB11" s="14" t="s">
        <v>159</v>
      </c>
      <c r="AC11" s="14" t="s">
        <v>160</v>
      </c>
      <c r="AD11" s="16" t="n">
        <f aca="false">IF(P11="","",P11-LN(7))</f>
        <v>0.323151850944687</v>
      </c>
      <c r="AE11" s="16" t="n">
        <f aca="false">IF(OR(T11="",S11=""),"",T11-S11)</f>
        <v>0.014449</v>
      </c>
      <c r="AF11" s="16" t="n">
        <f aca="false">IF(OR(V11="",Seeds!$C$8=""),"",V11-Seeds!$C$8)</f>
        <v>-0.0484183333333333</v>
      </c>
      <c r="AG11" s="16" t="str">
        <f aca="false">IF(OR(AF11="",Seeds!$C$10=""),"",IF(ABS(AF11)&gt;Seeds!$C$10,"Có","Không"))</f>
        <v>Có</v>
      </c>
    </row>
    <row r="12" customFormat="false" ht="15" hidden="false" customHeight="true" outlineLevel="0" collapsed="false">
      <c r="A12" s="14" t="s">
        <v>161</v>
      </c>
      <c r="B12" s="14" t="s">
        <v>132</v>
      </c>
      <c r="C12" s="14" t="s">
        <v>162</v>
      </c>
      <c r="D12" s="14" t="s">
        <v>116</v>
      </c>
      <c r="E12" s="14" t="s">
        <v>117</v>
      </c>
      <c r="F12" s="14" t="n">
        <v>0.3</v>
      </c>
      <c r="G12" s="14" t="n">
        <v>0</v>
      </c>
      <c r="H12" s="14" t="n">
        <v>512</v>
      </c>
      <c r="I12" s="14" t="n">
        <v>20</v>
      </c>
      <c r="J12" s="14" t="s">
        <v>163</v>
      </c>
      <c r="K12" s="14" t="n">
        <v>0</v>
      </c>
      <c r="L12" s="14" t="s">
        <v>119</v>
      </c>
      <c r="M12" s="14" t="s">
        <v>120</v>
      </c>
      <c r="N12" s="14" t="s">
        <v>121</v>
      </c>
      <c r="O12" s="14" t="n">
        <v>1</v>
      </c>
      <c r="P12" s="15" t="n">
        <v>1.918217</v>
      </c>
      <c r="Q12" s="15" t="n">
        <v>0.199757</v>
      </c>
      <c r="R12" s="14" t="n">
        <v>20</v>
      </c>
      <c r="S12" s="15" t="n">
        <v>0.166924</v>
      </c>
      <c r="T12" s="15" t="n">
        <v>0.199757</v>
      </c>
      <c r="U12" s="15" t="n">
        <v>0.922635</v>
      </c>
      <c r="V12" s="15" t="n">
        <v>0.874727</v>
      </c>
      <c r="W12" s="14" t="n">
        <v>1.267</v>
      </c>
      <c r="X12" s="14" t="n">
        <v>19.7</v>
      </c>
      <c r="Y12" s="14" t="s">
        <v>110</v>
      </c>
      <c r="Z12" s="15"/>
      <c r="AA12" s="15"/>
      <c r="AB12" s="14" t="s">
        <v>164</v>
      </c>
      <c r="AC12" s="14" t="s">
        <v>165</v>
      </c>
      <c r="AD12" s="16" t="n">
        <f aca="false">IF(P12="","",P12-LN(7))</f>
        <v>-0.0276931490553132</v>
      </c>
      <c r="AE12" s="16" t="n">
        <f aca="false">IF(OR(T12="",S12=""),"",T12-S12)</f>
        <v>0.032833</v>
      </c>
      <c r="AF12" s="16" t="n">
        <f aca="false">IF(OR(V12="",Seeds!$C$8=""),"",V12-Seeds!$C$8)</f>
        <v>0.0140186666666667</v>
      </c>
      <c r="AG12" s="16" t="str">
        <f aca="false">IF(OR(AF12="",Seeds!$C$10=""),"",IF(ABS(AF12)&gt;Seeds!$C$10,"Có","Không"))</f>
        <v>Có</v>
      </c>
    </row>
    <row r="13" customFormat="false" ht="15" hidden="false" customHeight="true" outlineLevel="0" collapsed="false">
      <c r="A13" s="14" t="s">
        <v>166</v>
      </c>
      <c r="B13" s="14" t="s">
        <v>132</v>
      </c>
      <c r="C13" s="14" t="s">
        <v>167</v>
      </c>
      <c r="D13" s="14" t="s">
        <v>116</v>
      </c>
      <c r="E13" s="14" t="s">
        <v>117</v>
      </c>
      <c r="F13" s="14" t="n">
        <v>0.003</v>
      </c>
      <c r="G13" s="14" t="n">
        <v>0</v>
      </c>
      <c r="H13" s="14" t="n">
        <v>512</v>
      </c>
      <c r="I13" s="14" t="n">
        <v>20</v>
      </c>
      <c r="J13" s="14" t="s">
        <v>118</v>
      </c>
      <c r="K13" s="14" t="n">
        <v>0</v>
      </c>
      <c r="L13" s="14" t="s">
        <v>119</v>
      </c>
      <c r="M13" s="14" t="s">
        <v>120</v>
      </c>
      <c r="N13" s="14" t="s">
        <v>121</v>
      </c>
      <c r="O13" s="14" t="n">
        <v>1</v>
      </c>
      <c r="P13" s="15" t="n">
        <v>2.269062</v>
      </c>
      <c r="Q13" s="15" t="n">
        <v>0.419802</v>
      </c>
      <c r="R13" s="14" t="n">
        <v>20</v>
      </c>
      <c r="S13" s="15" t="n">
        <v>0.413558</v>
      </c>
      <c r="T13" s="15" t="n">
        <v>0.419802</v>
      </c>
      <c r="U13" s="15" t="n">
        <v>0.825014</v>
      </c>
      <c r="V13" s="15" t="n">
        <v>0.664664</v>
      </c>
      <c r="W13" s="14" t="n">
        <v>1.251</v>
      </c>
      <c r="X13" s="14" t="n">
        <v>17.9</v>
      </c>
      <c r="Y13" s="14" t="s">
        <v>110</v>
      </c>
      <c r="Z13" s="15"/>
      <c r="AA13" s="15"/>
      <c r="AB13" s="14" t="s">
        <v>168</v>
      </c>
      <c r="AC13" s="14" t="s">
        <v>169</v>
      </c>
      <c r="AD13" s="16" t="n">
        <f aca="false">IF(P13="","",P13-LN(7))</f>
        <v>0.323151850944687</v>
      </c>
      <c r="AE13" s="16" t="n">
        <f aca="false">IF(OR(T13="",S13=""),"",T13-S13)</f>
        <v>0.00624400000000003</v>
      </c>
      <c r="AF13" s="16" t="n">
        <f aca="false">IF(OR(V13="",Seeds!$C$8=""),"",V13-Seeds!$C$8)</f>
        <v>-0.196044333333333</v>
      </c>
      <c r="AG13" s="16" t="str">
        <f aca="false">IF(OR(AF13="",Seeds!$C$10=""),"",IF(ABS(AF13)&gt;Seeds!$C$10,"Có","Không"))</f>
        <v>Có</v>
      </c>
    </row>
    <row r="14" customFormat="false" ht="15" hidden="false" customHeight="true" outlineLevel="0" collapsed="false">
      <c r="A14" s="14" t="s">
        <v>170</v>
      </c>
      <c r="B14" s="14" t="s">
        <v>132</v>
      </c>
      <c r="C14" s="14" t="s">
        <v>171</v>
      </c>
      <c r="D14" s="14" t="s">
        <v>116</v>
      </c>
      <c r="E14" s="14" t="s">
        <v>117</v>
      </c>
      <c r="F14" s="14" t="n">
        <v>0.01</v>
      </c>
      <c r="G14" s="14" t="n">
        <v>0</v>
      </c>
      <c r="H14" s="14" t="n">
        <v>512</v>
      </c>
      <c r="I14" s="14" t="n">
        <v>20</v>
      </c>
      <c r="J14" s="14" t="s">
        <v>118</v>
      </c>
      <c r="K14" s="14" t="n">
        <v>0</v>
      </c>
      <c r="L14" s="14" t="s">
        <v>119</v>
      </c>
      <c r="M14" s="14" t="s">
        <v>120</v>
      </c>
      <c r="N14" s="14" t="s">
        <v>121</v>
      </c>
      <c r="O14" s="14" t="n">
        <v>1</v>
      </c>
      <c r="P14" s="15" t="n">
        <v>2.269062</v>
      </c>
      <c r="Q14" s="15" t="n">
        <v>0.310973</v>
      </c>
      <c r="R14" s="14" t="n">
        <v>20</v>
      </c>
      <c r="S14" s="15" t="n">
        <v>0.299432</v>
      </c>
      <c r="T14" s="15" t="n">
        <v>0.310973</v>
      </c>
      <c r="U14" s="15" t="n">
        <v>0.874669</v>
      </c>
      <c r="V14" s="15" t="n">
        <v>0.761253</v>
      </c>
      <c r="W14" s="14" t="n">
        <v>1.262</v>
      </c>
      <c r="X14" s="14" t="n">
        <v>17.9</v>
      </c>
      <c r="Y14" s="14" t="s">
        <v>110</v>
      </c>
      <c r="Z14" s="15"/>
      <c r="AA14" s="15"/>
      <c r="AB14" s="14" t="s">
        <v>172</v>
      </c>
      <c r="AC14" s="14" t="s">
        <v>169</v>
      </c>
      <c r="AD14" s="16" t="n">
        <f aca="false">IF(P14="","",P14-LN(7))</f>
        <v>0.323151850944687</v>
      </c>
      <c r="AE14" s="16" t="n">
        <f aca="false">IF(OR(T14="",S14=""),"",T14-S14)</f>
        <v>0.011541</v>
      </c>
      <c r="AF14" s="16" t="n">
        <f aca="false">IF(OR(V14="",Seeds!$C$8=""),"",V14-Seeds!$C$8)</f>
        <v>-0.0994553333333333</v>
      </c>
      <c r="AG14" s="16" t="str">
        <f aca="false">IF(OR(AF14="",Seeds!$C$10=""),"",IF(ABS(AF14)&gt;Seeds!$C$10,"Có","Không"))</f>
        <v>Có</v>
      </c>
    </row>
    <row r="15" customFormat="false" ht="15" hidden="false" customHeight="true" outlineLevel="0" collapsed="false">
      <c r="A15" s="14" t="s">
        <v>173</v>
      </c>
      <c r="B15" s="14" t="s">
        <v>132</v>
      </c>
      <c r="C15" s="14" t="s">
        <v>174</v>
      </c>
      <c r="D15" s="14" t="s">
        <v>116</v>
      </c>
      <c r="E15" s="14" t="s">
        <v>117</v>
      </c>
      <c r="F15" s="14" t="n">
        <v>0.03</v>
      </c>
      <c r="G15" s="14" t="n">
        <v>0</v>
      </c>
      <c r="H15" s="14" t="n">
        <v>512</v>
      </c>
      <c r="I15" s="14" t="n">
        <v>20</v>
      </c>
      <c r="J15" s="14" t="s">
        <v>118</v>
      </c>
      <c r="K15" s="14" t="n">
        <v>0</v>
      </c>
      <c r="L15" s="14" t="s">
        <v>119</v>
      </c>
      <c r="M15" s="14" t="s">
        <v>120</v>
      </c>
      <c r="N15" s="14" t="s">
        <v>121</v>
      </c>
      <c r="O15" s="14" t="n">
        <v>1</v>
      </c>
      <c r="P15" s="15" t="n">
        <v>2.269062</v>
      </c>
      <c r="Q15" s="15" t="n">
        <v>0.265973</v>
      </c>
      <c r="R15" s="14" t="n">
        <v>20</v>
      </c>
      <c r="S15" s="15" t="n">
        <v>0.247266</v>
      </c>
      <c r="T15" s="15" t="n">
        <v>0.265973</v>
      </c>
      <c r="U15" s="15" t="n">
        <v>0.892139</v>
      </c>
      <c r="V15" s="15" t="n">
        <v>0.816958</v>
      </c>
      <c r="W15" s="14" t="n">
        <v>1.254</v>
      </c>
      <c r="X15" s="14" t="n">
        <v>17.9</v>
      </c>
      <c r="Y15" s="14" t="s">
        <v>110</v>
      </c>
      <c r="Z15" s="15"/>
      <c r="AA15" s="15"/>
      <c r="AB15" s="14" t="s">
        <v>175</v>
      </c>
      <c r="AC15" s="14" t="s">
        <v>169</v>
      </c>
      <c r="AD15" s="16" t="n">
        <f aca="false">IF(P15="","",P15-LN(7))</f>
        <v>0.323151850944687</v>
      </c>
      <c r="AE15" s="16" t="n">
        <f aca="false">IF(OR(T15="",S15=""),"",T15-S15)</f>
        <v>0.018707</v>
      </c>
      <c r="AF15" s="16" t="n">
        <f aca="false">IF(OR(V15="",Seeds!$C$8=""),"",V15-Seeds!$C$8)</f>
        <v>-0.0437503333333333</v>
      </c>
      <c r="AG15" s="16" t="str">
        <f aca="false">IF(OR(AF15="",Seeds!$C$10=""),"",IF(ABS(AF15)&gt;Seeds!$C$10,"Có","Không"))</f>
        <v>Có</v>
      </c>
    </row>
    <row r="16" customFormat="false" ht="15" hidden="false" customHeight="true" outlineLevel="0" collapsed="false">
      <c r="A16" s="14" t="s">
        <v>176</v>
      </c>
      <c r="B16" s="14" t="s">
        <v>132</v>
      </c>
      <c r="C16" s="14" t="s">
        <v>177</v>
      </c>
      <c r="D16" s="14" t="s">
        <v>116</v>
      </c>
      <c r="E16" s="14" t="s">
        <v>117</v>
      </c>
      <c r="F16" s="14" t="n">
        <v>0.1</v>
      </c>
      <c r="G16" s="14" t="n">
        <v>0</v>
      </c>
      <c r="H16" s="14" t="n">
        <v>512</v>
      </c>
      <c r="I16" s="14" t="n">
        <v>20</v>
      </c>
      <c r="J16" s="14" t="s">
        <v>118</v>
      </c>
      <c r="K16" s="14" t="n">
        <v>0</v>
      </c>
      <c r="L16" s="14" t="s">
        <v>119</v>
      </c>
      <c r="M16" s="14" t="s">
        <v>120</v>
      </c>
      <c r="N16" s="14" t="s">
        <v>121</v>
      </c>
      <c r="O16" s="14" t="n">
        <v>1</v>
      </c>
      <c r="P16" s="15" t="n">
        <v>2.269062</v>
      </c>
      <c r="Q16" s="15" t="n">
        <v>0.237924</v>
      </c>
      <c r="R16" s="14" t="n">
        <v>18</v>
      </c>
      <c r="S16" s="15" t="n">
        <v>0.221814</v>
      </c>
      <c r="T16" s="15" t="n">
        <v>0.242554</v>
      </c>
      <c r="U16" s="15" t="n">
        <v>0.905381</v>
      </c>
      <c r="V16" s="15" t="n">
        <v>0.839036</v>
      </c>
      <c r="W16" s="14" t="n">
        <v>1.235</v>
      </c>
      <c r="X16" s="14" t="n">
        <v>17.9</v>
      </c>
      <c r="Y16" s="14" t="s">
        <v>110</v>
      </c>
      <c r="Z16" s="15"/>
      <c r="AA16" s="15"/>
      <c r="AB16" s="14" t="s">
        <v>178</v>
      </c>
      <c r="AC16" s="14" t="s">
        <v>169</v>
      </c>
      <c r="AD16" s="16" t="n">
        <f aca="false">IF(P16="","",P16-LN(7))</f>
        <v>0.323151850944687</v>
      </c>
      <c r="AE16" s="16" t="n">
        <f aca="false">IF(OR(T16="",S16=""),"",T16-S16)</f>
        <v>0.02074</v>
      </c>
      <c r="AF16" s="16" t="n">
        <f aca="false">IF(OR(V16="",Seeds!$C$8=""),"",V16-Seeds!$C$8)</f>
        <v>-0.0216723333333333</v>
      </c>
      <c r="AG16" s="16" t="str">
        <f aca="false">IF(OR(AF16="",Seeds!$C$10=""),"",IF(ABS(AF16)&gt;Seeds!$C$10,"Có","Không"))</f>
        <v>Có</v>
      </c>
    </row>
    <row r="17" customFormat="false" ht="15" hidden="false" customHeight="true" outlineLevel="0" collapsed="false">
      <c r="A17" s="14" t="s">
        <v>179</v>
      </c>
      <c r="B17" s="14" t="s">
        <v>132</v>
      </c>
      <c r="C17" s="14" t="s">
        <v>180</v>
      </c>
      <c r="D17" s="14" t="s">
        <v>116</v>
      </c>
      <c r="E17" s="14" t="s">
        <v>117</v>
      </c>
      <c r="F17" s="14" t="n">
        <v>0.3</v>
      </c>
      <c r="G17" s="14" t="n">
        <v>0</v>
      </c>
      <c r="H17" s="14" t="n">
        <v>512</v>
      </c>
      <c r="I17" s="14" t="n">
        <v>20</v>
      </c>
      <c r="J17" s="14" t="s">
        <v>118</v>
      </c>
      <c r="K17" s="14" t="n">
        <v>0</v>
      </c>
      <c r="L17" s="14" t="s">
        <v>119</v>
      </c>
      <c r="M17" s="14" t="s">
        <v>120</v>
      </c>
      <c r="N17" s="14" t="s">
        <v>121</v>
      </c>
      <c r="O17" s="14" t="n">
        <v>1</v>
      </c>
      <c r="P17" s="15" t="n">
        <v>2.269062</v>
      </c>
      <c r="Q17" s="15" t="n">
        <v>0.231815</v>
      </c>
      <c r="R17" s="14" t="n">
        <v>19</v>
      </c>
      <c r="S17" s="15" t="n">
        <v>0.205668</v>
      </c>
      <c r="T17" s="15" t="n">
        <v>0.233869</v>
      </c>
      <c r="U17" s="15" t="n">
        <v>0.908974</v>
      </c>
      <c r="V17" s="15" t="n">
        <v>0.857346</v>
      </c>
      <c r="W17" s="14" t="n">
        <v>1.238</v>
      </c>
      <c r="X17" s="14" t="n">
        <v>17.9</v>
      </c>
      <c r="Y17" s="14" t="s">
        <v>110</v>
      </c>
      <c r="Z17" s="15"/>
      <c r="AA17" s="15"/>
      <c r="AB17" s="14" t="s">
        <v>181</v>
      </c>
      <c r="AC17" s="14" t="s">
        <v>169</v>
      </c>
      <c r="AD17" s="16" t="n">
        <f aca="false">IF(P17="","",P17-LN(7))</f>
        <v>0.323151850944687</v>
      </c>
      <c r="AE17" s="16" t="n">
        <f aca="false">IF(OR(T17="",S17=""),"",T17-S17)</f>
        <v>0.028201</v>
      </c>
      <c r="AF17" s="16" t="n">
        <f aca="false">IF(OR(V17="",Seeds!$C$8=""),"",V17-Seeds!$C$8)</f>
        <v>-0.00336233333333325</v>
      </c>
      <c r="AG17" s="16" t="str">
        <f aca="false">IF(OR(AF17="",Seeds!$C$10=""),"",IF(ABS(AF17)&gt;Seeds!$C$10,"Có","Không"))</f>
        <v>Không</v>
      </c>
    </row>
    <row r="18" customFormat="false" ht="15" hidden="false" customHeight="true" outlineLevel="0" collapsed="false">
      <c r="A18" s="14" t="s">
        <v>182</v>
      </c>
      <c r="B18" s="14" t="s">
        <v>132</v>
      </c>
      <c r="C18" s="14" t="s">
        <v>183</v>
      </c>
      <c r="D18" s="14" t="s">
        <v>116</v>
      </c>
      <c r="E18" s="14" t="s">
        <v>117</v>
      </c>
      <c r="F18" s="14" t="n">
        <v>1</v>
      </c>
      <c r="G18" s="14" t="n">
        <v>0</v>
      </c>
      <c r="H18" s="14" t="n">
        <v>512</v>
      </c>
      <c r="I18" s="14" t="n">
        <v>20</v>
      </c>
      <c r="J18" s="14" t="s">
        <v>118</v>
      </c>
      <c r="K18" s="14" t="n">
        <v>0</v>
      </c>
      <c r="L18" s="14" t="s">
        <v>119</v>
      </c>
      <c r="M18" s="14" t="s">
        <v>120</v>
      </c>
      <c r="N18" s="14" t="s">
        <v>121</v>
      </c>
      <c r="O18" s="14" t="n">
        <v>1</v>
      </c>
      <c r="P18" s="15" t="n">
        <v>2.269062</v>
      </c>
      <c r="Q18" s="15" t="n">
        <v>0.333494</v>
      </c>
      <c r="R18" s="14" t="n">
        <v>19</v>
      </c>
      <c r="S18" s="15" t="n">
        <v>0.352198</v>
      </c>
      <c r="T18" s="15" t="n">
        <v>0.370814</v>
      </c>
      <c r="U18" s="15" t="n">
        <v>0.866246</v>
      </c>
      <c r="V18" s="15" t="n">
        <v>0.773175</v>
      </c>
      <c r="W18" s="14" t="n">
        <v>1.237</v>
      </c>
      <c r="X18" s="14" t="n">
        <v>17.9</v>
      </c>
      <c r="Y18" s="14" t="s">
        <v>110</v>
      </c>
      <c r="Z18" s="15"/>
      <c r="AA18" s="15"/>
      <c r="AB18" s="14" t="s">
        <v>184</v>
      </c>
      <c r="AC18" s="14" t="s">
        <v>169</v>
      </c>
      <c r="AD18" s="16" t="n">
        <f aca="false">IF(P18="","",P18-LN(7))</f>
        <v>0.323151850944687</v>
      </c>
      <c r="AE18" s="16" t="n">
        <f aca="false">IF(OR(T18="",S18=""),"",T18-S18)</f>
        <v>0.018616</v>
      </c>
      <c r="AF18" s="16" t="n">
        <f aca="false">IF(OR(V18="",Seeds!$C$8=""),"",V18-Seeds!$C$8)</f>
        <v>-0.0875333333333334</v>
      </c>
      <c r="AG18" s="16" t="str">
        <f aca="false">IF(OR(AF18="",Seeds!$C$10=""),"",IF(ABS(AF18)&gt;Seeds!$C$10,"Có","Không"))</f>
        <v>Có</v>
      </c>
    </row>
    <row r="19" customFormat="false" ht="15" hidden="false" customHeight="true" outlineLevel="0" collapsed="false">
      <c r="A19" s="14" t="s">
        <v>185</v>
      </c>
      <c r="B19" s="14" t="s">
        <v>27</v>
      </c>
      <c r="C19" s="14" t="s">
        <v>186</v>
      </c>
      <c r="D19" s="14" t="s">
        <v>187</v>
      </c>
      <c r="E19" s="14" t="s">
        <v>117</v>
      </c>
      <c r="F19" s="14" t="n">
        <v>0.3</v>
      </c>
      <c r="G19" s="14" t="n">
        <v>0</v>
      </c>
      <c r="H19" s="14" t="n">
        <v>512</v>
      </c>
      <c r="I19" s="14" t="n">
        <v>20</v>
      </c>
      <c r="J19" s="14" t="s">
        <v>118</v>
      </c>
      <c r="K19" s="14" t="n">
        <v>0</v>
      </c>
      <c r="L19" s="14" t="s">
        <v>119</v>
      </c>
      <c r="M19" s="14" t="s">
        <v>120</v>
      </c>
      <c r="N19" s="14" t="s">
        <v>121</v>
      </c>
      <c r="O19" s="14" t="n">
        <v>1</v>
      </c>
      <c r="P19" s="15" t="n">
        <v>0.63585</v>
      </c>
      <c r="Q19" s="15" t="n">
        <v>0.027384</v>
      </c>
      <c r="R19" s="14" t="n">
        <v>20</v>
      </c>
      <c r="S19" s="15" t="n">
        <v>0.026353</v>
      </c>
      <c r="T19" s="15" t="n">
        <v>0.027384</v>
      </c>
      <c r="U19" s="15" t="n">
        <v>0.880306</v>
      </c>
      <c r="V19" s="15" t="n">
        <v>0.772613</v>
      </c>
      <c r="W19" s="14" t="n">
        <v>1.334</v>
      </c>
      <c r="X19" s="14" t="n">
        <v>17.9</v>
      </c>
      <c r="Y19" s="14" t="s">
        <v>110</v>
      </c>
      <c r="Z19" s="15"/>
      <c r="AA19" s="15"/>
      <c r="AB19" s="14" t="s">
        <v>188</v>
      </c>
      <c r="AC19" s="14" t="s">
        <v>189</v>
      </c>
      <c r="AD19" s="16" t="n">
        <f aca="false">IF(P19="","",P19-LN(7))</f>
        <v>-1.31006014905531</v>
      </c>
      <c r="AE19" s="16" t="n">
        <f aca="false">IF(OR(T19="",S19=""),"",T19-S19)</f>
        <v>0.001031</v>
      </c>
      <c r="AF19" s="16" t="n">
        <f aca="false">IF(OR(V19="",Seeds!$C$8=""),"",V19-Seeds!$C$8)</f>
        <v>-0.0880953333333333</v>
      </c>
      <c r="AG19" s="16" t="str">
        <f aca="false">IF(OR(AF19="",Seeds!$C$10=""),"",IF(ABS(AF19)&gt;Seeds!$C$10,"Có","Không"))</f>
        <v>Có</v>
      </c>
    </row>
    <row r="20" customFormat="false" ht="15" hidden="false" customHeight="true" outlineLevel="0" collapsed="false">
      <c r="A20" s="14" t="s">
        <v>190</v>
      </c>
      <c r="B20" s="14" t="s">
        <v>27</v>
      </c>
      <c r="C20" s="14" t="s">
        <v>191</v>
      </c>
      <c r="D20" s="14" t="s">
        <v>187</v>
      </c>
      <c r="E20" s="14" t="s">
        <v>117</v>
      </c>
      <c r="F20" s="14" t="n">
        <v>0.9</v>
      </c>
      <c r="G20" s="14" t="n">
        <v>0</v>
      </c>
      <c r="H20" s="14" t="n">
        <v>512</v>
      </c>
      <c r="I20" s="14" t="n">
        <v>20</v>
      </c>
      <c r="J20" s="14" t="s">
        <v>118</v>
      </c>
      <c r="K20" s="14" t="n">
        <v>0</v>
      </c>
      <c r="L20" s="14" t="s">
        <v>119</v>
      </c>
      <c r="M20" s="14" t="s">
        <v>120</v>
      </c>
      <c r="N20" s="14" t="s">
        <v>121</v>
      </c>
      <c r="O20" s="14" t="n">
        <v>1</v>
      </c>
      <c r="P20" s="15" t="n">
        <v>0.63585</v>
      </c>
      <c r="Q20" s="15" t="n">
        <v>0.032577</v>
      </c>
      <c r="R20" s="14" t="n">
        <v>19</v>
      </c>
      <c r="S20" s="15" t="n">
        <v>0.036631</v>
      </c>
      <c r="T20" s="15" t="n">
        <v>0.03704</v>
      </c>
      <c r="U20" s="15" t="n">
        <v>0.858415</v>
      </c>
      <c r="V20" s="15" t="n">
        <v>0.748512</v>
      </c>
      <c r="W20" s="14" t="n">
        <v>1.337</v>
      </c>
      <c r="X20" s="14" t="n">
        <v>17.9</v>
      </c>
      <c r="Y20" s="14" t="s">
        <v>110</v>
      </c>
      <c r="Z20" s="15"/>
      <c r="AA20" s="15"/>
      <c r="AB20" s="14" t="s">
        <v>192</v>
      </c>
      <c r="AC20" s="14" t="s">
        <v>193</v>
      </c>
      <c r="AD20" s="16" t="n">
        <f aca="false">IF(P20="","",P20-LN(7))</f>
        <v>-1.31006014905531</v>
      </c>
      <c r="AE20" s="16" t="n">
        <f aca="false">IF(OR(T20="",S20=""),"",T20-S20)</f>
        <v>0.000409</v>
      </c>
      <c r="AF20" s="16" t="n">
        <f aca="false">IF(OR(V20="",Seeds!$C$8=""),"",V20-Seeds!$C$8)</f>
        <v>-0.112196333333333</v>
      </c>
      <c r="AG20" s="16" t="str">
        <f aca="false">IF(OR(AF20="",Seeds!$C$10=""),"",IF(ABS(AF20)&gt;Seeds!$C$10,"Có","Không"))</f>
        <v>Có</v>
      </c>
    </row>
    <row r="21" customFormat="false" ht="15" hidden="false" customHeight="true" outlineLevel="0" collapsed="false">
      <c r="A21" s="14" t="s">
        <v>194</v>
      </c>
      <c r="B21" s="14" t="s">
        <v>29</v>
      </c>
      <c r="C21" s="14" t="s">
        <v>195</v>
      </c>
      <c r="D21" s="14" t="s">
        <v>116</v>
      </c>
      <c r="E21" s="14" t="s">
        <v>109</v>
      </c>
      <c r="F21" s="14" t="n">
        <v>0.0003</v>
      </c>
      <c r="G21" s="14" t="n">
        <v>0</v>
      </c>
      <c r="H21" s="14" t="n">
        <v>512</v>
      </c>
      <c r="I21" s="14" t="n">
        <v>20</v>
      </c>
      <c r="J21" s="14" t="s">
        <v>118</v>
      </c>
      <c r="K21" s="14" t="n">
        <v>0</v>
      </c>
      <c r="L21" s="14" t="s">
        <v>119</v>
      </c>
      <c r="M21" s="14" t="s">
        <v>120</v>
      </c>
      <c r="N21" s="14" t="s">
        <v>121</v>
      </c>
      <c r="O21" s="14" t="n">
        <v>1</v>
      </c>
      <c r="P21" s="15" t="n">
        <v>2.269062</v>
      </c>
      <c r="Q21" s="15" t="n">
        <v>0.313508</v>
      </c>
      <c r="R21" s="14" t="n">
        <v>20</v>
      </c>
      <c r="S21" s="15" t="n">
        <v>0.303073</v>
      </c>
      <c r="T21" s="15" t="n">
        <v>0.313508</v>
      </c>
      <c r="U21" s="15" t="n">
        <v>0.872658</v>
      </c>
      <c r="V21" s="15" t="n">
        <v>0.787739</v>
      </c>
      <c r="W21" s="14" t="n">
        <v>1.395</v>
      </c>
      <c r="X21" s="14" t="n">
        <v>18.1</v>
      </c>
      <c r="Y21" s="14" t="s">
        <v>110</v>
      </c>
      <c r="Z21" s="15"/>
      <c r="AA21" s="15"/>
      <c r="AB21" s="14" t="s">
        <v>196</v>
      </c>
      <c r="AC21" s="14" t="s">
        <v>197</v>
      </c>
      <c r="AD21" s="16" t="n">
        <f aca="false">IF(P21="","",P21-LN(7))</f>
        <v>0.323151850944687</v>
      </c>
      <c r="AE21" s="16" t="n">
        <f aca="false">IF(OR(T21="",S21=""),"",T21-S21)</f>
        <v>0.010435</v>
      </c>
      <c r="AF21" s="16" t="n">
        <f aca="false">IF(OR(V21="",Seeds!$C$8=""),"",V21-Seeds!$C$8)</f>
        <v>-0.0729693333333333</v>
      </c>
      <c r="AG21" s="16" t="str">
        <f aca="false">IF(OR(AF21="",Seeds!$C$10=""),"",IF(ABS(AF21)&gt;Seeds!$C$10,"Có","Không"))</f>
        <v>Có</v>
      </c>
    </row>
    <row r="22" customFormat="false" ht="15" hidden="false" customHeight="true" outlineLevel="0" collapsed="false">
      <c r="A22" s="14" t="s">
        <v>198</v>
      </c>
      <c r="B22" s="14" t="s">
        <v>29</v>
      </c>
      <c r="C22" s="14" t="s">
        <v>199</v>
      </c>
      <c r="D22" s="14" t="s">
        <v>116</v>
      </c>
      <c r="E22" s="14" t="s">
        <v>109</v>
      </c>
      <c r="F22" s="14" t="n">
        <v>0.001</v>
      </c>
      <c r="G22" s="14" t="n">
        <v>0</v>
      </c>
      <c r="H22" s="14" t="n">
        <v>512</v>
      </c>
      <c r="I22" s="14" t="n">
        <v>20</v>
      </c>
      <c r="J22" s="14" t="s">
        <v>118</v>
      </c>
      <c r="K22" s="14" t="n">
        <v>0</v>
      </c>
      <c r="L22" s="14" t="s">
        <v>119</v>
      </c>
      <c r="M22" s="14" t="s">
        <v>120</v>
      </c>
      <c r="N22" s="14" t="s">
        <v>121</v>
      </c>
      <c r="O22" s="14" t="n">
        <v>1</v>
      </c>
      <c r="P22" s="15" t="n">
        <v>2.269062</v>
      </c>
      <c r="Q22" s="15" t="n">
        <v>0.249411</v>
      </c>
      <c r="R22" s="14" t="n">
        <v>19</v>
      </c>
      <c r="S22" s="15" t="n">
        <v>0.232577</v>
      </c>
      <c r="T22" s="15" t="n">
        <v>0.252852</v>
      </c>
      <c r="U22" s="15" t="n">
        <v>0.899335</v>
      </c>
      <c r="V22" s="15" t="n">
        <v>0.845556</v>
      </c>
      <c r="W22" s="14" t="n">
        <v>1.4</v>
      </c>
      <c r="X22" s="14" t="n">
        <v>18.1</v>
      </c>
      <c r="Y22" s="14" t="s">
        <v>110</v>
      </c>
      <c r="Z22" s="15"/>
      <c r="AA22" s="15"/>
      <c r="AB22" s="14" t="s">
        <v>200</v>
      </c>
      <c r="AC22" s="14" t="s">
        <v>197</v>
      </c>
      <c r="AD22" s="16" t="n">
        <f aca="false">IF(P22="","",P22-LN(7))</f>
        <v>0.323151850944687</v>
      </c>
      <c r="AE22" s="16" t="n">
        <f aca="false">IF(OR(T22="",S22=""),"",T22-S22)</f>
        <v>0.020275</v>
      </c>
      <c r="AF22" s="16" t="n">
        <f aca="false">IF(OR(V22="",Seeds!$C$8=""),"",V22-Seeds!$C$8)</f>
        <v>-0.0151523333333333</v>
      </c>
      <c r="AG22" s="16" t="str">
        <f aca="false">IF(OR(AF22="",Seeds!$C$10=""),"",IF(ABS(AF22)&gt;Seeds!$C$10,"Có","Không"))</f>
        <v>Có</v>
      </c>
    </row>
    <row r="23" customFormat="false" ht="15" hidden="false" customHeight="true" outlineLevel="0" collapsed="false">
      <c r="A23" s="14" t="s">
        <v>201</v>
      </c>
      <c r="B23" s="14" t="s">
        <v>29</v>
      </c>
      <c r="C23" s="14" t="s">
        <v>202</v>
      </c>
      <c r="D23" s="14" t="s">
        <v>116</v>
      </c>
      <c r="E23" s="14" t="s">
        <v>109</v>
      </c>
      <c r="F23" s="14" t="n">
        <v>0.003</v>
      </c>
      <c r="G23" s="14" t="n">
        <v>0</v>
      </c>
      <c r="H23" s="14" t="n">
        <v>512</v>
      </c>
      <c r="I23" s="14" t="n">
        <v>20</v>
      </c>
      <c r="J23" s="14" t="s">
        <v>118</v>
      </c>
      <c r="K23" s="14" t="n">
        <v>0</v>
      </c>
      <c r="L23" s="14" t="s">
        <v>119</v>
      </c>
      <c r="M23" s="14" t="s">
        <v>120</v>
      </c>
      <c r="N23" s="14" t="s">
        <v>121</v>
      </c>
      <c r="O23" s="14" t="n">
        <v>1</v>
      </c>
      <c r="P23" s="15" t="n">
        <v>2.269062</v>
      </c>
      <c r="Q23" s="15" t="n">
        <v>0.214496</v>
      </c>
      <c r="R23" s="14" t="n">
        <v>19</v>
      </c>
      <c r="S23" s="15" t="n">
        <v>0.186955</v>
      </c>
      <c r="T23" s="15" t="n">
        <v>0.215953</v>
      </c>
      <c r="U23" s="15" t="n">
        <v>0.915288</v>
      </c>
      <c r="V23" s="15" t="n">
        <v>0.867747</v>
      </c>
      <c r="W23" s="14" t="n">
        <v>1.426</v>
      </c>
      <c r="X23" s="14" t="n">
        <v>18.1</v>
      </c>
      <c r="Y23" s="14" t="s">
        <v>110</v>
      </c>
      <c r="Z23" s="15"/>
      <c r="AA23" s="15"/>
      <c r="AB23" s="14" t="s">
        <v>203</v>
      </c>
      <c r="AC23" s="14" t="s">
        <v>197</v>
      </c>
      <c r="AD23" s="16" t="n">
        <f aca="false">IF(P23="","",P23-LN(7))</f>
        <v>0.323151850944687</v>
      </c>
      <c r="AE23" s="16" t="n">
        <f aca="false">IF(OR(T23="",S23=""),"",T23-S23)</f>
        <v>0.028998</v>
      </c>
      <c r="AF23" s="16" t="n">
        <f aca="false">IF(OR(V23="",Seeds!$C$8=""),"",V23-Seeds!$C$8)</f>
        <v>0.00703866666666675</v>
      </c>
      <c r="AG23" s="16" t="str">
        <f aca="false">IF(OR(AF23="",Seeds!$C$10=""),"",IF(ABS(AF23)&gt;Seeds!$C$10,"Có","Không"))</f>
        <v>Có</v>
      </c>
    </row>
    <row r="24" customFormat="false" ht="15" hidden="false" customHeight="true" outlineLevel="0" collapsed="false">
      <c r="A24" s="14" t="s">
        <v>204</v>
      </c>
      <c r="B24" s="14" t="s">
        <v>29</v>
      </c>
      <c r="C24" s="14" t="s">
        <v>205</v>
      </c>
      <c r="D24" s="14" t="s">
        <v>116</v>
      </c>
      <c r="E24" s="14" t="s">
        <v>109</v>
      </c>
      <c r="F24" s="14" t="n">
        <v>0.01</v>
      </c>
      <c r="G24" s="14" t="n">
        <v>0</v>
      </c>
      <c r="H24" s="14" t="n">
        <v>512</v>
      </c>
      <c r="I24" s="14" t="n">
        <v>20</v>
      </c>
      <c r="J24" s="14" t="s">
        <v>118</v>
      </c>
      <c r="K24" s="14" t="n">
        <v>0</v>
      </c>
      <c r="L24" s="14" t="s">
        <v>119</v>
      </c>
      <c r="M24" s="14" t="s">
        <v>120</v>
      </c>
      <c r="N24" s="14" t="s">
        <v>121</v>
      </c>
      <c r="O24" s="14" t="n">
        <v>1</v>
      </c>
      <c r="P24" s="15" t="n">
        <v>2.269062</v>
      </c>
      <c r="Q24" s="15" t="n">
        <v>0.215276</v>
      </c>
      <c r="R24" s="14" t="n">
        <v>20</v>
      </c>
      <c r="S24" s="15" t="n">
        <v>0.187396</v>
      </c>
      <c r="T24" s="15" t="n">
        <v>0.215276</v>
      </c>
      <c r="U24" s="15" t="n">
        <v>0.916815</v>
      </c>
      <c r="V24" s="15" t="n">
        <v>0.863895</v>
      </c>
      <c r="W24" s="14" t="n">
        <v>1.397</v>
      </c>
      <c r="X24" s="14" t="n">
        <v>18.1</v>
      </c>
      <c r="Y24" s="14" t="s">
        <v>110</v>
      </c>
      <c r="Z24" s="15"/>
      <c r="AA24" s="15"/>
      <c r="AB24" s="14" t="s">
        <v>206</v>
      </c>
      <c r="AC24" s="14" t="s">
        <v>197</v>
      </c>
      <c r="AD24" s="16" t="n">
        <f aca="false">IF(P24="","",P24-LN(7))</f>
        <v>0.323151850944687</v>
      </c>
      <c r="AE24" s="16" t="n">
        <f aca="false">IF(OR(T24="",S24=""),"",T24-S24)</f>
        <v>0.02788</v>
      </c>
      <c r="AF24" s="16" t="n">
        <f aca="false">IF(OR(V24="",Seeds!$C$8=""),"",V24-Seeds!$C$8)</f>
        <v>0.00318666666666667</v>
      </c>
      <c r="AG24" s="16" t="str">
        <f aca="false">IF(OR(AF24="",Seeds!$C$10=""),"",IF(ABS(AF24)&gt;Seeds!$C$10,"Có","Không"))</f>
        <v>Không</v>
      </c>
    </row>
    <row r="25" customFormat="false" ht="15" hidden="false" customHeight="true" outlineLevel="0" collapsed="false">
      <c r="A25" s="14" t="s">
        <v>207</v>
      </c>
      <c r="B25" s="14" t="s">
        <v>29</v>
      </c>
      <c r="C25" s="14" t="s">
        <v>208</v>
      </c>
      <c r="D25" s="14" t="s">
        <v>116</v>
      </c>
      <c r="E25" s="14" t="s">
        <v>209</v>
      </c>
      <c r="F25" s="14" t="n">
        <v>0.001</v>
      </c>
      <c r="G25" s="14" t="n">
        <v>0.01</v>
      </c>
      <c r="H25" s="14" t="n">
        <v>512</v>
      </c>
      <c r="I25" s="14" t="n">
        <v>20</v>
      </c>
      <c r="J25" s="14" t="s">
        <v>118</v>
      </c>
      <c r="K25" s="14" t="n">
        <v>0</v>
      </c>
      <c r="L25" s="14" t="s">
        <v>119</v>
      </c>
      <c r="M25" s="14" t="s">
        <v>120</v>
      </c>
      <c r="N25" s="14" t="s">
        <v>121</v>
      </c>
      <c r="O25" s="14" t="n">
        <v>1</v>
      </c>
      <c r="P25" s="15" t="n">
        <v>2.269062</v>
      </c>
      <c r="Q25" s="15" t="n">
        <v>0.250745</v>
      </c>
      <c r="R25" s="14" t="n">
        <v>20</v>
      </c>
      <c r="S25" s="15" t="n">
        <v>0.231879</v>
      </c>
      <c r="T25" s="15" t="n">
        <v>0.250745</v>
      </c>
      <c r="U25" s="15" t="n">
        <v>0.900379</v>
      </c>
      <c r="V25" s="15" t="n">
        <v>0.848174</v>
      </c>
      <c r="W25" s="14" t="n">
        <v>1.402</v>
      </c>
      <c r="X25" s="14" t="n">
        <v>18.1</v>
      </c>
      <c r="Y25" s="14" t="s">
        <v>110</v>
      </c>
      <c r="Z25" s="15"/>
      <c r="AA25" s="15"/>
      <c r="AB25" s="14" t="s">
        <v>210</v>
      </c>
      <c r="AC25" s="14" t="s">
        <v>211</v>
      </c>
      <c r="AD25" s="16" t="n">
        <f aca="false">IF(P25="","",P25-LN(7))</f>
        <v>0.323151850944687</v>
      </c>
      <c r="AE25" s="16" t="n">
        <f aca="false">IF(OR(T25="",S25=""),"",T25-S25)</f>
        <v>0.018866</v>
      </c>
      <c r="AF25" s="16" t="n">
        <f aca="false">IF(OR(V25="",Seeds!$C$8=""),"",V25-Seeds!$C$8)</f>
        <v>-0.0125343333333333</v>
      </c>
      <c r="AG25" s="16" t="str">
        <f aca="false">IF(OR(AF25="",Seeds!$C$10=""),"",IF(ABS(AF25)&gt;Seeds!$C$10,"Có","Không"))</f>
        <v>Có</v>
      </c>
    </row>
    <row r="26" customFormat="false" ht="15" hidden="false" customHeight="true" outlineLevel="0" collapsed="false">
      <c r="A26" s="14" t="s">
        <v>212</v>
      </c>
      <c r="B26" s="14" t="s">
        <v>29</v>
      </c>
      <c r="C26" s="14" t="s">
        <v>213</v>
      </c>
      <c r="D26" s="14" t="s">
        <v>116</v>
      </c>
      <c r="E26" s="14" t="s">
        <v>209</v>
      </c>
      <c r="F26" s="14" t="n">
        <v>0.003</v>
      </c>
      <c r="G26" s="14" t="n">
        <v>0.01</v>
      </c>
      <c r="H26" s="14" t="n">
        <v>512</v>
      </c>
      <c r="I26" s="14" t="n">
        <v>20</v>
      </c>
      <c r="J26" s="14" t="s">
        <v>118</v>
      </c>
      <c r="K26" s="14" t="n">
        <v>0</v>
      </c>
      <c r="L26" s="14" t="s">
        <v>119</v>
      </c>
      <c r="M26" s="14" t="s">
        <v>120</v>
      </c>
      <c r="N26" s="14" t="s">
        <v>121</v>
      </c>
      <c r="O26" s="14" t="n">
        <v>1</v>
      </c>
      <c r="P26" s="15" t="n">
        <v>2.269062</v>
      </c>
      <c r="Q26" s="15" t="n">
        <v>0.2161</v>
      </c>
      <c r="R26" s="14" t="n">
        <v>18</v>
      </c>
      <c r="S26" s="15" t="n">
        <v>0.198031</v>
      </c>
      <c r="T26" s="15" t="n">
        <v>0.220358</v>
      </c>
      <c r="U26" s="15" t="n">
        <v>0.913029</v>
      </c>
      <c r="V26" s="15" t="n">
        <v>0.864607</v>
      </c>
      <c r="W26" s="14" t="n">
        <v>1.392</v>
      </c>
      <c r="X26" s="14" t="n">
        <v>18.1</v>
      </c>
      <c r="Y26" s="14" t="s">
        <v>110</v>
      </c>
      <c r="Z26" s="15"/>
      <c r="AA26" s="15"/>
      <c r="AB26" s="14" t="s">
        <v>214</v>
      </c>
      <c r="AC26" s="14" t="s">
        <v>211</v>
      </c>
      <c r="AD26" s="16" t="n">
        <f aca="false">IF(P26="","",P26-LN(7))</f>
        <v>0.323151850944687</v>
      </c>
      <c r="AE26" s="16" t="n">
        <f aca="false">IF(OR(T26="",S26=""),"",T26-S26)</f>
        <v>0.022327</v>
      </c>
      <c r="AF26" s="16" t="n">
        <f aca="false">IF(OR(V26="",Seeds!$C$8=""),"",V26-Seeds!$C$8)</f>
        <v>0.00389866666666672</v>
      </c>
      <c r="AG26" s="16" t="str">
        <f aca="false">IF(OR(AF26="",Seeds!$C$10=""),"",IF(ABS(AF26)&gt;Seeds!$C$10,"Có","Không"))</f>
        <v>Không</v>
      </c>
    </row>
    <row r="27" customFormat="false" ht="15" hidden="false" customHeight="true" outlineLevel="0" collapsed="false">
      <c r="A27" s="14" t="s">
        <v>215</v>
      </c>
      <c r="B27" s="14" t="s">
        <v>29</v>
      </c>
      <c r="C27" s="14" t="s">
        <v>216</v>
      </c>
      <c r="D27" s="14" t="s">
        <v>116</v>
      </c>
      <c r="E27" s="14" t="s">
        <v>209</v>
      </c>
      <c r="F27" s="14" t="n">
        <v>0.01</v>
      </c>
      <c r="G27" s="14" t="n">
        <v>0.01</v>
      </c>
      <c r="H27" s="14" t="n">
        <v>512</v>
      </c>
      <c r="I27" s="14" t="n">
        <v>20</v>
      </c>
      <c r="J27" s="14" t="s">
        <v>118</v>
      </c>
      <c r="K27" s="14" t="n">
        <v>0</v>
      </c>
      <c r="L27" s="14" t="s">
        <v>119</v>
      </c>
      <c r="M27" s="14" t="s">
        <v>120</v>
      </c>
      <c r="N27" s="14" t="s">
        <v>121</v>
      </c>
      <c r="O27" s="14" t="n">
        <v>1</v>
      </c>
      <c r="P27" s="15" t="n">
        <v>2.269062</v>
      </c>
      <c r="Q27" s="15" t="n">
        <v>0.235967</v>
      </c>
      <c r="R27" s="14" t="n">
        <v>15</v>
      </c>
      <c r="S27" s="15" t="n">
        <v>0.214618</v>
      </c>
      <c r="T27" s="15" t="n">
        <v>0.236633</v>
      </c>
      <c r="U27" s="15" t="n">
        <v>0.904316</v>
      </c>
      <c r="V27" s="15" t="n">
        <v>0.849233</v>
      </c>
      <c r="W27" s="14" t="n">
        <v>1.398</v>
      </c>
      <c r="X27" s="14" t="n">
        <v>18.1</v>
      </c>
      <c r="Y27" s="14" t="s">
        <v>110</v>
      </c>
      <c r="Z27" s="15"/>
      <c r="AA27" s="15"/>
      <c r="AB27" s="14" t="s">
        <v>217</v>
      </c>
      <c r="AC27" s="14" t="s">
        <v>211</v>
      </c>
      <c r="AD27" s="16" t="n">
        <f aca="false">IF(P27="","",P27-LN(7))</f>
        <v>0.323151850944687</v>
      </c>
      <c r="AE27" s="16" t="n">
        <f aca="false">IF(OR(T27="",S27=""),"",T27-S27)</f>
        <v>0.022015</v>
      </c>
      <c r="AF27" s="16" t="n">
        <f aca="false">IF(OR(V27="",Seeds!$C$8=""),"",V27-Seeds!$C$8)</f>
        <v>-0.0114753333333333</v>
      </c>
      <c r="AG27" s="16" t="str">
        <f aca="false">IF(OR(AF27="",Seeds!$C$10=""),"",IF(ABS(AF27)&gt;Seeds!$C$10,"Có","Không"))</f>
        <v>Có</v>
      </c>
    </row>
    <row r="28" customFormat="false" ht="15" hidden="false" customHeight="true" outlineLevel="0" collapsed="false">
      <c r="A28" s="14" t="s">
        <v>218</v>
      </c>
      <c r="B28" s="14" t="s">
        <v>29</v>
      </c>
      <c r="C28" s="14" t="s">
        <v>219</v>
      </c>
      <c r="D28" s="14" t="s">
        <v>116</v>
      </c>
      <c r="E28" s="14" t="s">
        <v>209</v>
      </c>
      <c r="F28" s="14" t="n">
        <v>0.003</v>
      </c>
      <c r="G28" s="14" t="n">
        <v>0</v>
      </c>
      <c r="H28" s="14" t="n">
        <v>512</v>
      </c>
      <c r="I28" s="14" t="n">
        <v>20</v>
      </c>
      <c r="J28" s="14" t="s">
        <v>118</v>
      </c>
      <c r="K28" s="14" t="n">
        <v>0</v>
      </c>
      <c r="L28" s="14" t="s">
        <v>119</v>
      </c>
      <c r="M28" s="14" t="s">
        <v>120</v>
      </c>
      <c r="N28" s="14" t="s">
        <v>121</v>
      </c>
      <c r="O28" s="14" t="n">
        <v>1</v>
      </c>
      <c r="P28" s="15" t="n">
        <v>2.269062</v>
      </c>
      <c r="Q28" s="15" t="n">
        <v>0.214496</v>
      </c>
      <c r="R28" s="14" t="n">
        <v>19</v>
      </c>
      <c r="S28" s="15" t="n">
        <v>0.186955</v>
      </c>
      <c r="T28" s="15" t="n">
        <v>0.215953</v>
      </c>
      <c r="U28" s="15" t="n">
        <v>0.915288</v>
      </c>
      <c r="V28" s="15" t="n">
        <v>0.867747</v>
      </c>
      <c r="W28" s="14" t="n">
        <v>1.387</v>
      </c>
      <c r="X28" s="14" t="n">
        <v>18.1</v>
      </c>
      <c r="Y28" s="14" t="s">
        <v>110</v>
      </c>
      <c r="Z28" s="15"/>
      <c r="AA28" s="15"/>
      <c r="AB28" s="14" t="s">
        <v>220</v>
      </c>
      <c r="AC28" s="14" t="s">
        <v>221</v>
      </c>
      <c r="AD28" s="16" t="n">
        <f aca="false">IF(P28="","",P28-LN(7))</f>
        <v>0.323151850944687</v>
      </c>
      <c r="AE28" s="16" t="n">
        <f aca="false">IF(OR(T28="",S28=""),"",T28-S28)</f>
        <v>0.028998</v>
      </c>
      <c r="AF28" s="16" t="n">
        <f aca="false">IF(OR(V28="",Seeds!$C$8=""),"",V28-Seeds!$C$8)</f>
        <v>0.00703866666666675</v>
      </c>
      <c r="AG28" s="16" t="str">
        <f aca="false">IF(OR(AF28="",Seeds!$C$10=""),"",IF(ABS(AF28)&gt;Seeds!$C$10,"Có","Không"))</f>
        <v>Có</v>
      </c>
    </row>
    <row r="29" customFormat="false" ht="15" hidden="false" customHeight="true" outlineLevel="0" collapsed="false">
      <c r="A29" s="14" t="s">
        <v>222</v>
      </c>
      <c r="B29" s="14" t="s">
        <v>29</v>
      </c>
      <c r="C29" s="14" t="s">
        <v>223</v>
      </c>
      <c r="D29" s="14" t="s">
        <v>116</v>
      </c>
      <c r="E29" s="14" t="s">
        <v>224</v>
      </c>
      <c r="F29" s="14" t="n">
        <v>0.03</v>
      </c>
      <c r="G29" s="14" t="n">
        <v>0</v>
      </c>
      <c r="H29" s="14" t="n">
        <v>512</v>
      </c>
      <c r="I29" s="14" t="n">
        <v>20</v>
      </c>
      <c r="J29" s="14" t="s">
        <v>118</v>
      </c>
      <c r="K29" s="14" t="n">
        <v>0</v>
      </c>
      <c r="L29" s="14" t="s">
        <v>119</v>
      </c>
      <c r="M29" s="14" t="s">
        <v>120</v>
      </c>
      <c r="N29" s="14" t="s">
        <v>121</v>
      </c>
      <c r="O29" s="14" t="n">
        <v>1</v>
      </c>
      <c r="P29" s="15" t="n">
        <v>2.269062</v>
      </c>
      <c r="Q29" s="15" t="n">
        <v>0.434857</v>
      </c>
      <c r="R29" s="14" t="n">
        <v>19</v>
      </c>
      <c r="S29" s="15" t="n">
        <v>0.441566</v>
      </c>
      <c r="T29" s="15" t="n">
        <v>0.447944</v>
      </c>
      <c r="U29" s="15" t="n">
        <v>0.814236</v>
      </c>
      <c r="V29" s="15" t="n">
        <v>0.658567</v>
      </c>
      <c r="W29" s="14" t="n">
        <v>1.226</v>
      </c>
      <c r="X29" s="14" t="n">
        <v>17.8</v>
      </c>
      <c r="Y29" s="14" t="s">
        <v>110</v>
      </c>
      <c r="Z29" s="15"/>
      <c r="AA29" s="15"/>
      <c r="AB29" s="14" t="s">
        <v>225</v>
      </c>
      <c r="AC29" s="14" t="s">
        <v>226</v>
      </c>
      <c r="AD29" s="16" t="n">
        <f aca="false">IF(P29="","",P29-LN(7))</f>
        <v>0.323151850944687</v>
      </c>
      <c r="AE29" s="16" t="n">
        <f aca="false">IF(OR(T29="",S29=""),"",T29-S29)</f>
        <v>0.006378</v>
      </c>
      <c r="AF29" s="16" t="n">
        <f aca="false">IF(OR(V29="",Seeds!$C$8=""),"",V29-Seeds!$C$8)</f>
        <v>-0.202141333333333</v>
      </c>
      <c r="AG29" s="16" t="str">
        <f aca="false">IF(OR(AF29="",Seeds!$C$10=""),"",IF(ABS(AF29)&gt;Seeds!$C$10,"Có","Không"))</f>
        <v>Có</v>
      </c>
    </row>
    <row r="30" customFormat="false" ht="15" hidden="false" customHeight="true" outlineLevel="0" collapsed="false">
      <c r="A30" s="14" t="s">
        <v>227</v>
      </c>
      <c r="B30" s="14" t="s">
        <v>29</v>
      </c>
      <c r="C30" s="14" t="s">
        <v>228</v>
      </c>
      <c r="D30" s="14" t="s">
        <v>116</v>
      </c>
      <c r="E30" s="14" t="s">
        <v>224</v>
      </c>
      <c r="F30" s="14" t="n">
        <v>0.1</v>
      </c>
      <c r="G30" s="14" t="n">
        <v>0</v>
      </c>
      <c r="H30" s="14" t="n">
        <v>512</v>
      </c>
      <c r="I30" s="14" t="n">
        <v>20</v>
      </c>
      <c r="J30" s="14" t="s">
        <v>118</v>
      </c>
      <c r="K30" s="14" t="n">
        <v>0</v>
      </c>
      <c r="L30" s="14" t="s">
        <v>119</v>
      </c>
      <c r="M30" s="14" t="s">
        <v>120</v>
      </c>
      <c r="N30" s="14" t="s">
        <v>121</v>
      </c>
      <c r="O30" s="14" t="n">
        <v>1</v>
      </c>
      <c r="P30" s="15" t="n">
        <v>2.269062</v>
      </c>
      <c r="Q30" s="15" t="n">
        <v>0.347476</v>
      </c>
      <c r="R30" s="14" t="n">
        <v>18</v>
      </c>
      <c r="S30" s="15" t="n">
        <v>0.433419</v>
      </c>
      <c r="T30" s="15" t="n">
        <v>0.443691</v>
      </c>
      <c r="U30" s="15" t="n">
        <v>0.857985</v>
      </c>
      <c r="V30" s="15" t="n">
        <v>0.755055</v>
      </c>
      <c r="W30" s="14" t="n">
        <v>1.208</v>
      </c>
      <c r="X30" s="14" t="n">
        <v>17.8</v>
      </c>
      <c r="Y30" s="14" t="s">
        <v>110</v>
      </c>
      <c r="Z30" s="15"/>
      <c r="AA30" s="15"/>
      <c r="AB30" s="14" t="s">
        <v>229</v>
      </c>
      <c r="AC30" s="14" t="s">
        <v>226</v>
      </c>
      <c r="AD30" s="16" t="n">
        <f aca="false">IF(P30="","",P30-LN(7))</f>
        <v>0.323151850944687</v>
      </c>
      <c r="AE30" s="16" t="n">
        <f aca="false">IF(OR(T30="",S30=""),"",T30-S30)</f>
        <v>0.010272</v>
      </c>
      <c r="AF30" s="16" t="n">
        <f aca="false">IF(OR(V30="",Seeds!$C$8=""),"",V30-Seeds!$C$8)</f>
        <v>-0.105653333333333</v>
      </c>
      <c r="AG30" s="16" t="str">
        <f aca="false">IF(OR(AF30="",Seeds!$C$10=""),"",IF(ABS(AF30)&gt;Seeds!$C$10,"Có","Không"))</f>
        <v>Có</v>
      </c>
    </row>
    <row r="31" customFormat="false" ht="15" hidden="false" customHeight="true" outlineLevel="0" collapsed="false">
      <c r="A31" s="14" t="s">
        <v>230</v>
      </c>
      <c r="B31" s="14" t="s">
        <v>29</v>
      </c>
      <c r="C31" s="14" t="s">
        <v>231</v>
      </c>
      <c r="D31" s="14" t="s">
        <v>116</v>
      </c>
      <c r="E31" s="14" t="s">
        <v>224</v>
      </c>
      <c r="F31" s="14" t="n">
        <v>0.3</v>
      </c>
      <c r="G31" s="14" t="n">
        <v>0</v>
      </c>
      <c r="H31" s="14" t="n">
        <v>512</v>
      </c>
      <c r="I31" s="14" t="n">
        <v>20</v>
      </c>
      <c r="J31" s="14" t="s">
        <v>118</v>
      </c>
      <c r="K31" s="14" t="n">
        <v>0</v>
      </c>
      <c r="L31" s="14" t="s">
        <v>119</v>
      </c>
      <c r="M31" s="14" t="s">
        <v>120</v>
      </c>
      <c r="N31" s="14" t="s">
        <v>121</v>
      </c>
      <c r="O31" s="14" t="n">
        <v>1</v>
      </c>
      <c r="P31" s="15" t="n">
        <v>2.269062</v>
      </c>
      <c r="Q31" s="15" t="n">
        <v>0.280293</v>
      </c>
      <c r="R31" s="14" t="n">
        <v>18</v>
      </c>
      <c r="S31" s="15" t="n">
        <v>0.319589</v>
      </c>
      <c r="T31" s="15" t="n">
        <v>0.332651</v>
      </c>
      <c r="U31" s="15" t="n">
        <v>0.887147</v>
      </c>
      <c r="V31" s="15" t="n">
        <v>0.816342</v>
      </c>
      <c r="W31" s="14" t="n">
        <v>1.213</v>
      </c>
      <c r="X31" s="14" t="n">
        <v>17.8</v>
      </c>
      <c r="Y31" s="14" t="s">
        <v>110</v>
      </c>
      <c r="Z31" s="15"/>
      <c r="AA31" s="15"/>
      <c r="AB31" s="14" t="s">
        <v>232</v>
      </c>
      <c r="AC31" s="14" t="s">
        <v>226</v>
      </c>
      <c r="AD31" s="16" t="n">
        <f aca="false">IF(P31="","",P31-LN(7))</f>
        <v>0.323151850944687</v>
      </c>
      <c r="AE31" s="16" t="n">
        <f aca="false">IF(OR(T31="",S31=""),"",T31-S31)</f>
        <v>0.013062</v>
      </c>
      <c r="AF31" s="16" t="n">
        <f aca="false">IF(OR(V31="",Seeds!$C$8=""),"",V31-Seeds!$C$8)</f>
        <v>-0.0443663333333333</v>
      </c>
      <c r="AG31" s="16" t="str">
        <f aca="false">IF(OR(AF31="",Seeds!$C$10=""),"",IF(ABS(AF31)&gt;Seeds!$C$10,"Có","Không"))</f>
        <v>Có</v>
      </c>
    </row>
    <row r="32" customFormat="false" ht="15" hidden="false" customHeight="true" outlineLevel="0" collapsed="false">
      <c r="A32" s="14" t="s">
        <v>233</v>
      </c>
      <c r="B32" s="14" t="s">
        <v>29</v>
      </c>
      <c r="C32" s="14" t="s">
        <v>234</v>
      </c>
      <c r="D32" s="14" t="s">
        <v>116</v>
      </c>
      <c r="E32" s="14" t="s">
        <v>224</v>
      </c>
      <c r="F32" s="14" t="n">
        <v>1</v>
      </c>
      <c r="G32" s="14" t="n">
        <v>0</v>
      </c>
      <c r="H32" s="14" t="n">
        <v>512</v>
      </c>
      <c r="I32" s="14" t="n">
        <v>20</v>
      </c>
      <c r="J32" s="14" t="s">
        <v>118</v>
      </c>
      <c r="K32" s="14" t="n">
        <v>0</v>
      </c>
      <c r="L32" s="14" t="s">
        <v>119</v>
      </c>
      <c r="M32" s="14" t="s">
        <v>120</v>
      </c>
      <c r="N32" s="14" t="s">
        <v>121</v>
      </c>
      <c r="O32" s="14" t="n">
        <v>1</v>
      </c>
      <c r="P32" s="15" t="n">
        <v>2.269062</v>
      </c>
      <c r="Q32" s="15" t="n">
        <v>0.25222</v>
      </c>
      <c r="R32" s="14" t="n">
        <v>18</v>
      </c>
      <c r="S32" s="15" t="n">
        <v>0.275857</v>
      </c>
      <c r="T32" s="15" t="n">
        <v>0.300486</v>
      </c>
      <c r="U32" s="15" t="n">
        <v>0.89997</v>
      </c>
      <c r="V32" s="15" t="n">
        <v>0.834389</v>
      </c>
      <c r="W32" s="14" t="n">
        <v>1.213</v>
      </c>
      <c r="X32" s="14" t="n">
        <v>17.8</v>
      </c>
      <c r="Y32" s="14" t="s">
        <v>110</v>
      </c>
      <c r="Z32" s="15"/>
      <c r="AA32" s="15"/>
      <c r="AB32" s="14" t="s">
        <v>235</v>
      </c>
      <c r="AC32" s="14" t="s">
        <v>226</v>
      </c>
      <c r="AD32" s="16" t="n">
        <f aca="false">IF(P32="","",P32-LN(7))</f>
        <v>0.323151850944687</v>
      </c>
      <c r="AE32" s="16" t="n">
        <f aca="false">IF(OR(T32="",S32=""),"",T32-S32)</f>
        <v>0.024629</v>
      </c>
      <c r="AF32" s="16" t="n">
        <f aca="false">IF(OR(V32="",Seeds!$C$8=""),"",V32-Seeds!$C$8)</f>
        <v>-0.0263193333333333</v>
      </c>
      <c r="AG32" s="16" t="str">
        <f aca="false">IF(OR(AF32="",Seeds!$C$10=""),"",IF(ABS(AF32)&gt;Seeds!$C$10,"Có","Không"))</f>
        <v>Có</v>
      </c>
    </row>
    <row r="33" customFormat="false" ht="15" hidden="false" customHeight="true" outlineLevel="0" collapsed="false">
      <c r="A33" s="14" t="s">
        <v>236</v>
      </c>
      <c r="B33" s="14" t="s">
        <v>29</v>
      </c>
      <c r="C33" s="14" t="s">
        <v>237</v>
      </c>
      <c r="D33" s="14" t="s">
        <v>116</v>
      </c>
      <c r="E33" s="14" t="s">
        <v>224</v>
      </c>
      <c r="F33" s="14" t="n">
        <v>3</v>
      </c>
      <c r="G33" s="14" t="n">
        <v>0</v>
      </c>
      <c r="H33" s="14" t="n">
        <v>512</v>
      </c>
      <c r="I33" s="14" t="n">
        <v>20</v>
      </c>
      <c r="J33" s="14" t="s">
        <v>118</v>
      </c>
      <c r="K33" s="14" t="n">
        <v>0</v>
      </c>
      <c r="L33" s="14" t="s">
        <v>119</v>
      </c>
      <c r="M33" s="14" t="s">
        <v>120</v>
      </c>
      <c r="N33" s="14" t="s">
        <v>121</v>
      </c>
      <c r="O33" s="14" t="n">
        <v>1</v>
      </c>
      <c r="P33" s="15" t="n">
        <v>2.269062</v>
      </c>
      <c r="Q33" s="15" t="n">
        <v>0.369805</v>
      </c>
      <c r="R33" s="14" t="n">
        <v>18</v>
      </c>
      <c r="S33" s="15" t="n">
        <v>0.351758</v>
      </c>
      <c r="T33" s="15" t="n">
        <v>0.370408</v>
      </c>
      <c r="U33" s="15" t="n">
        <v>0.851133</v>
      </c>
      <c r="V33" s="15" t="n">
        <v>0.615479</v>
      </c>
      <c r="W33" s="14" t="n">
        <v>1.206</v>
      </c>
      <c r="X33" s="14" t="n">
        <v>17.8</v>
      </c>
      <c r="Y33" s="14" t="s">
        <v>110</v>
      </c>
      <c r="Z33" s="15"/>
      <c r="AA33" s="15"/>
      <c r="AB33" s="14" t="s">
        <v>238</v>
      </c>
      <c r="AC33" s="14" t="s">
        <v>226</v>
      </c>
      <c r="AD33" s="16" t="n">
        <f aca="false">IF(P33="","",P33-LN(7))</f>
        <v>0.323151850944687</v>
      </c>
      <c r="AE33" s="16" t="n">
        <f aca="false">IF(OR(T33="",S33=""),"",T33-S33)</f>
        <v>0.01865</v>
      </c>
      <c r="AF33" s="16" t="n">
        <f aca="false">IF(OR(V33="",Seeds!$C$8=""),"",V33-Seeds!$C$8)</f>
        <v>-0.245229333333333</v>
      </c>
      <c r="AG33" s="16" t="str">
        <f aca="false">IF(OR(AF33="",Seeds!$C$10=""),"",IF(ABS(AF33)&gt;Seeds!$C$10,"Có","Không"))</f>
        <v>Có</v>
      </c>
    </row>
    <row r="34" customFormat="false" ht="15" hidden="false" customHeight="true" outlineLevel="0" collapsed="false">
      <c r="A34" s="14" t="s">
        <v>239</v>
      </c>
      <c r="B34" s="14" t="s">
        <v>46</v>
      </c>
      <c r="C34" s="14" t="s">
        <v>240</v>
      </c>
      <c r="D34" s="14" t="s">
        <v>116</v>
      </c>
      <c r="E34" s="14" t="s">
        <v>117</v>
      </c>
      <c r="F34" s="14" t="n">
        <v>0.3</v>
      </c>
      <c r="G34" s="14" t="n">
        <v>0</v>
      </c>
      <c r="H34" s="14" t="n">
        <v>512</v>
      </c>
      <c r="I34" s="14" t="n">
        <v>20</v>
      </c>
      <c r="J34" s="14" t="s">
        <v>118</v>
      </c>
      <c r="K34" s="14" t="n">
        <v>0.1</v>
      </c>
      <c r="L34" s="14" t="s">
        <v>119</v>
      </c>
      <c r="M34" s="14" t="s">
        <v>120</v>
      </c>
      <c r="N34" s="14" t="s">
        <v>121</v>
      </c>
      <c r="O34" s="14" t="n">
        <v>1</v>
      </c>
      <c r="P34" s="15" t="n">
        <v>2.269062</v>
      </c>
      <c r="Q34" s="15" t="n">
        <v>0.24</v>
      </c>
      <c r="R34" s="14" t="n">
        <v>20</v>
      </c>
      <c r="S34" s="15" t="n">
        <v>0.225301</v>
      </c>
      <c r="T34" s="15" t="n">
        <v>0.24</v>
      </c>
      <c r="U34" s="15" t="n">
        <v>0.902487</v>
      </c>
      <c r="V34" s="15" t="n">
        <v>0.838478</v>
      </c>
      <c r="W34" s="14" t="n">
        <v>1.38</v>
      </c>
      <c r="X34" s="14" t="n">
        <v>17.9</v>
      </c>
      <c r="Y34" s="14" t="s">
        <v>110</v>
      </c>
      <c r="Z34" s="15"/>
      <c r="AA34" s="15"/>
      <c r="AB34" s="14" t="s">
        <v>241</v>
      </c>
      <c r="AC34" s="14" t="s">
        <v>242</v>
      </c>
      <c r="AD34" s="16" t="n">
        <f aca="false">IF(P34="","",P34-LN(7))</f>
        <v>0.323151850944687</v>
      </c>
      <c r="AE34" s="16" t="n">
        <f aca="false">IF(OR(T34="",S34=""),"",T34-S34)</f>
        <v>0.014699</v>
      </c>
      <c r="AF34" s="16" t="n">
        <f aca="false">IF(OR(V34="",Seeds!$C$8=""),"",V34-Seeds!$C$8)</f>
        <v>-0.0222303333333334</v>
      </c>
      <c r="AG34" s="16" t="str">
        <f aca="false">IF(OR(AF34="",Seeds!$C$10=""),"",IF(ABS(AF34)&gt;Seeds!$C$10,"Có","Không"))</f>
        <v>Có</v>
      </c>
    </row>
    <row r="35" customFormat="false" ht="15" hidden="false" customHeight="true" outlineLevel="0" collapsed="false">
      <c r="A35" s="14" t="s">
        <v>243</v>
      </c>
      <c r="B35" s="14" t="s">
        <v>46</v>
      </c>
      <c r="C35" s="14" t="s">
        <v>244</v>
      </c>
      <c r="D35" s="14" t="s">
        <v>116</v>
      </c>
      <c r="E35" s="14" t="s">
        <v>117</v>
      </c>
      <c r="F35" s="14" t="n">
        <v>0.3</v>
      </c>
      <c r="G35" s="14" t="n">
        <v>0</v>
      </c>
      <c r="H35" s="14" t="n">
        <v>512</v>
      </c>
      <c r="I35" s="14" t="n">
        <v>20</v>
      </c>
      <c r="J35" s="14" t="s">
        <v>118</v>
      </c>
      <c r="K35" s="14" t="n">
        <v>0.3</v>
      </c>
      <c r="L35" s="14" t="s">
        <v>119</v>
      </c>
      <c r="M35" s="14" t="s">
        <v>120</v>
      </c>
      <c r="N35" s="14" t="s">
        <v>121</v>
      </c>
      <c r="O35" s="14" t="n">
        <v>1</v>
      </c>
      <c r="P35" s="15" t="n">
        <v>2.269062</v>
      </c>
      <c r="Q35" s="15" t="n">
        <v>0.314069</v>
      </c>
      <c r="R35" s="14" t="n">
        <v>20</v>
      </c>
      <c r="S35" s="15" t="n">
        <v>0.308148</v>
      </c>
      <c r="T35" s="15" t="n">
        <v>0.314069</v>
      </c>
      <c r="U35" s="15" t="n">
        <v>0.871991</v>
      </c>
      <c r="V35" s="15" t="n">
        <v>0.782392</v>
      </c>
      <c r="W35" s="14" t="n">
        <v>1.421</v>
      </c>
      <c r="X35" s="14" t="n">
        <v>17.9</v>
      </c>
      <c r="Y35" s="14" t="s">
        <v>110</v>
      </c>
      <c r="Z35" s="15"/>
      <c r="AA35" s="15"/>
      <c r="AB35" s="14" t="s">
        <v>245</v>
      </c>
      <c r="AC35" s="14" t="s">
        <v>242</v>
      </c>
      <c r="AD35" s="16" t="n">
        <f aca="false">IF(P35="","",P35-LN(7))</f>
        <v>0.323151850944687</v>
      </c>
      <c r="AE35" s="16" t="n">
        <f aca="false">IF(OR(T35="",S35=""),"",T35-S35)</f>
        <v>0.00592100000000001</v>
      </c>
      <c r="AF35" s="16" t="n">
        <f aca="false">IF(OR(V35="",Seeds!$C$8=""),"",V35-Seeds!$C$8)</f>
        <v>-0.0783163333333333</v>
      </c>
      <c r="AG35" s="16" t="str">
        <f aca="false">IF(OR(AF35="",Seeds!$C$10=""),"",IF(ABS(AF35)&gt;Seeds!$C$10,"Có","Không"))</f>
        <v>Có</v>
      </c>
    </row>
    <row r="36" customFormat="false" ht="15" hidden="false" customHeight="true" outlineLevel="0" collapsed="false">
      <c r="A36" s="14" t="s">
        <v>246</v>
      </c>
      <c r="B36" s="14" t="s">
        <v>247</v>
      </c>
      <c r="C36" s="14" t="s">
        <v>248</v>
      </c>
      <c r="D36" s="14" t="s">
        <v>116</v>
      </c>
      <c r="E36" s="14" t="s">
        <v>117</v>
      </c>
      <c r="F36" s="14" t="n">
        <v>0.3</v>
      </c>
      <c r="G36" s="14" t="n">
        <v>0</v>
      </c>
      <c r="H36" s="14" t="n">
        <v>512</v>
      </c>
      <c r="I36" s="14" t="n">
        <v>20</v>
      </c>
      <c r="J36" s="14" t="s">
        <v>118</v>
      </c>
      <c r="K36" s="14" t="n">
        <v>0</v>
      </c>
      <c r="L36" s="14" t="n">
        <v>0.35</v>
      </c>
      <c r="M36" s="14" t="s">
        <v>120</v>
      </c>
      <c r="N36" s="14" t="s">
        <v>121</v>
      </c>
      <c r="O36" s="14" t="n">
        <v>1</v>
      </c>
      <c r="P36" s="15" t="n">
        <v>2.269062</v>
      </c>
      <c r="Q36" s="15" t="n">
        <v>0.228679</v>
      </c>
      <c r="R36" s="14" t="n">
        <v>19</v>
      </c>
      <c r="S36" s="15" t="n">
        <v>0.203199</v>
      </c>
      <c r="T36" s="15" t="n">
        <v>0.229357</v>
      </c>
      <c r="U36" s="15" t="n">
        <v>0.90893</v>
      </c>
      <c r="V36" s="15" t="n">
        <v>0.858127</v>
      </c>
      <c r="W36" s="14" t="n">
        <v>1.305</v>
      </c>
      <c r="X36" s="14" t="n">
        <v>17.9</v>
      </c>
      <c r="Y36" s="14" t="s">
        <v>110</v>
      </c>
      <c r="Z36" s="15"/>
      <c r="AA36" s="15"/>
      <c r="AB36" s="14" t="s">
        <v>249</v>
      </c>
      <c r="AC36" s="14" t="s">
        <v>250</v>
      </c>
      <c r="AD36" s="16" t="n">
        <f aca="false">IF(P36="","",P36-LN(7))</f>
        <v>0.323151850944687</v>
      </c>
      <c r="AE36" s="16" t="n">
        <f aca="false">IF(OR(T36="",S36=""),"",T36-S36)</f>
        <v>0.026158</v>
      </c>
      <c r="AF36" s="16" t="n">
        <f aca="false">IF(OR(V36="",Seeds!$C$8=""),"",V36-Seeds!$C$8)</f>
        <v>-0.00258133333333332</v>
      </c>
      <c r="AG36" s="16" t="str">
        <f aca="false">IF(OR(AF36="",Seeds!$C$10=""),"",IF(ABS(AF36)&gt;Seeds!$C$10,"Có","Không"))</f>
        <v>Không</v>
      </c>
    </row>
    <row r="37" customFormat="false" ht="15" hidden="false" customHeight="true" outlineLevel="0" collapsed="false">
      <c r="A37" s="14" t="s">
        <v>251</v>
      </c>
      <c r="B37" s="14" t="s">
        <v>247</v>
      </c>
      <c r="C37" s="14" t="s">
        <v>252</v>
      </c>
      <c r="D37" s="14" t="s">
        <v>116</v>
      </c>
      <c r="E37" s="14" t="s">
        <v>117</v>
      </c>
      <c r="F37" s="14" t="n">
        <v>0.9</v>
      </c>
      <c r="G37" s="14" t="n">
        <v>0</v>
      </c>
      <c r="H37" s="14" t="n">
        <v>512</v>
      </c>
      <c r="I37" s="14" t="n">
        <v>20</v>
      </c>
      <c r="J37" s="14" t="s">
        <v>118</v>
      </c>
      <c r="K37" s="14" t="n">
        <v>0</v>
      </c>
      <c r="L37" s="14" t="n">
        <v>0.35</v>
      </c>
      <c r="M37" s="14" t="s">
        <v>120</v>
      </c>
      <c r="N37" s="14" t="s">
        <v>121</v>
      </c>
      <c r="O37" s="14" t="n">
        <v>1</v>
      </c>
      <c r="P37" s="15" t="n">
        <v>2.269062</v>
      </c>
      <c r="Q37" s="15" t="n">
        <v>0.291842</v>
      </c>
      <c r="R37" s="14" t="n">
        <v>20</v>
      </c>
      <c r="S37" s="15" t="n">
        <v>0.266167</v>
      </c>
      <c r="T37" s="15" t="n">
        <v>0.291842</v>
      </c>
      <c r="U37" s="15" t="n">
        <v>0.890471</v>
      </c>
      <c r="V37" s="15" t="n">
        <v>0.831392</v>
      </c>
      <c r="W37" s="14" t="n">
        <v>1.314</v>
      </c>
      <c r="X37" s="14" t="n">
        <v>17.9</v>
      </c>
      <c r="Y37" s="14" t="s">
        <v>110</v>
      </c>
      <c r="Z37" s="15"/>
      <c r="AA37" s="15"/>
      <c r="AB37" s="14" t="s">
        <v>253</v>
      </c>
      <c r="AC37" s="14" t="s">
        <v>254</v>
      </c>
      <c r="AD37" s="16" t="n">
        <f aca="false">IF(P37="","",P37-LN(7))</f>
        <v>0.323151850944687</v>
      </c>
      <c r="AE37" s="16" t="n">
        <f aca="false">IF(OR(T37="",S37=""),"",T37-S37)</f>
        <v>0.025675</v>
      </c>
      <c r="AF37" s="16" t="n">
        <f aca="false">IF(OR(V37="",Seeds!$C$8=""),"",V37-Seeds!$C$8)</f>
        <v>-0.0293163333333333</v>
      </c>
      <c r="AG37" s="16" t="str">
        <f aca="false">IF(OR(AF37="",Seeds!$C$10=""),"",IF(ABS(AF37)&gt;Seeds!$C$10,"Có","Không"))</f>
        <v>Có</v>
      </c>
    </row>
    <row r="38" customFormat="false" ht="15" hidden="false" customHeight="true" outlineLevel="0" collapsed="false">
      <c r="A38" s="14" t="s">
        <v>255</v>
      </c>
      <c r="B38" s="14" t="s">
        <v>247</v>
      </c>
      <c r="C38" s="14" t="s">
        <v>256</v>
      </c>
      <c r="D38" s="14" t="s">
        <v>116</v>
      </c>
      <c r="E38" s="14" t="s">
        <v>117</v>
      </c>
      <c r="F38" s="14" t="n">
        <v>3</v>
      </c>
      <c r="G38" s="14" t="n">
        <v>0</v>
      </c>
      <c r="H38" s="14" t="n">
        <v>512</v>
      </c>
      <c r="I38" s="14" t="n">
        <v>20</v>
      </c>
      <c r="J38" s="14" t="s">
        <v>118</v>
      </c>
      <c r="K38" s="14" t="n">
        <v>0</v>
      </c>
      <c r="L38" s="14" t="n">
        <v>0.35</v>
      </c>
      <c r="M38" s="14" t="s">
        <v>120</v>
      </c>
      <c r="N38" s="14" t="s">
        <v>121</v>
      </c>
      <c r="O38" s="14" t="n">
        <v>1</v>
      </c>
      <c r="P38" s="15" t="n">
        <v>2.269062</v>
      </c>
      <c r="Q38" s="15" t="n">
        <v>0.966091</v>
      </c>
      <c r="R38" s="14" t="n">
        <v>17</v>
      </c>
      <c r="S38" s="15" t="n">
        <v>0.981549</v>
      </c>
      <c r="T38" s="15" t="n">
        <v>0.986138</v>
      </c>
      <c r="U38" s="15" t="n">
        <v>0.524946</v>
      </c>
      <c r="V38" s="15" t="n">
        <v>0.192773</v>
      </c>
      <c r="W38" s="14" t="n">
        <v>1.31</v>
      </c>
      <c r="X38" s="14" t="n">
        <v>17.9</v>
      </c>
      <c r="Y38" s="14" t="s">
        <v>110</v>
      </c>
      <c r="Z38" s="15"/>
      <c r="AA38" s="15"/>
      <c r="AB38" s="14" t="s">
        <v>257</v>
      </c>
      <c r="AC38" s="14" t="s">
        <v>258</v>
      </c>
      <c r="AD38" s="16" t="n">
        <f aca="false">IF(P38="","",P38-LN(7))</f>
        <v>0.323151850944687</v>
      </c>
      <c r="AE38" s="16" t="n">
        <f aca="false">IF(OR(T38="",S38=""),"",T38-S38)</f>
        <v>0.00458899999999995</v>
      </c>
      <c r="AF38" s="16" t="n">
        <f aca="false">IF(OR(V38="",Seeds!$C$8=""),"",V38-Seeds!$C$8)</f>
        <v>-0.667935333333333</v>
      </c>
      <c r="AG38" s="16" t="str">
        <f aca="false">IF(OR(AF38="",Seeds!$C$10=""),"",IF(ABS(AF38)&gt;Seeds!$C$10,"Có","Không"))</f>
        <v>Có</v>
      </c>
    </row>
    <row r="39" customFormat="false" ht="15" hidden="false" customHeight="true" outlineLevel="0" collapsed="false">
      <c r="A39" s="14" t="s">
        <v>259</v>
      </c>
      <c r="B39" s="14" t="s">
        <v>247</v>
      </c>
      <c r="C39" s="14" t="s">
        <v>260</v>
      </c>
      <c r="D39" s="14" t="s">
        <v>116</v>
      </c>
      <c r="E39" s="14" t="s">
        <v>117</v>
      </c>
      <c r="F39" s="14" t="n">
        <v>0.9</v>
      </c>
      <c r="G39" s="14" t="n">
        <v>0</v>
      </c>
      <c r="H39" s="14" t="n">
        <v>512</v>
      </c>
      <c r="I39" s="14" t="n">
        <v>20</v>
      </c>
      <c r="J39" s="14" t="s">
        <v>118</v>
      </c>
      <c r="K39" s="14" t="n">
        <v>0</v>
      </c>
      <c r="L39" s="14" t="s">
        <v>119</v>
      </c>
      <c r="M39" s="14" t="s">
        <v>120</v>
      </c>
      <c r="N39" s="14" t="s">
        <v>121</v>
      </c>
      <c r="O39" s="14" t="n">
        <v>1</v>
      </c>
      <c r="P39" s="15" t="n">
        <v>2.269062</v>
      </c>
      <c r="Q39" s="15" t="n">
        <v>0.317708</v>
      </c>
      <c r="R39" s="14" t="n">
        <v>19</v>
      </c>
      <c r="S39" s="15" t="n">
        <v>0.302399</v>
      </c>
      <c r="T39" s="15" t="n">
        <v>0.323118</v>
      </c>
      <c r="U39" s="15" t="n">
        <v>0.871033</v>
      </c>
      <c r="V39" s="15" t="n">
        <v>0.798957</v>
      </c>
      <c r="W39" s="14" t="n">
        <v>1.299</v>
      </c>
      <c r="X39" s="14" t="n">
        <v>17.9</v>
      </c>
      <c r="Y39" s="14" t="s">
        <v>110</v>
      </c>
      <c r="Z39" s="15"/>
      <c r="AA39" s="15"/>
      <c r="AB39" s="14" t="s">
        <v>261</v>
      </c>
      <c r="AC39" s="14" t="s">
        <v>262</v>
      </c>
      <c r="AD39" s="16" t="n">
        <f aca="false">IF(P39="","",P39-LN(7))</f>
        <v>0.323151850944687</v>
      </c>
      <c r="AE39" s="16" t="n">
        <f aca="false">IF(OR(T39="",S39=""),"",T39-S39)</f>
        <v>0.020719</v>
      </c>
      <c r="AF39" s="16" t="n">
        <f aca="false">IF(OR(V39="",Seeds!$C$8=""),"",V39-Seeds!$C$8)</f>
        <v>-0.0617513333333333</v>
      </c>
      <c r="AG39" s="16" t="str">
        <f aca="false">IF(OR(AF39="",Seeds!$C$10=""),"",IF(ABS(AF39)&gt;Seeds!$C$10,"Có","Không"))</f>
        <v>Có</v>
      </c>
    </row>
    <row r="40" customFormat="false" ht="15" hidden="false" customHeight="true" outlineLevel="0" collapsed="false">
      <c r="A40" s="14" t="s">
        <v>263</v>
      </c>
      <c r="B40" s="14" t="s">
        <v>247</v>
      </c>
      <c r="C40" s="14" t="s">
        <v>264</v>
      </c>
      <c r="D40" s="14" t="s">
        <v>116</v>
      </c>
      <c r="E40" s="14" t="s">
        <v>117</v>
      </c>
      <c r="F40" s="14" t="n">
        <v>3</v>
      </c>
      <c r="G40" s="14" t="n">
        <v>0</v>
      </c>
      <c r="H40" s="14" t="n">
        <v>512</v>
      </c>
      <c r="I40" s="14" t="n">
        <v>20</v>
      </c>
      <c r="J40" s="14" t="s">
        <v>118</v>
      </c>
      <c r="K40" s="14" t="n">
        <v>0</v>
      </c>
      <c r="L40" s="14" t="s">
        <v>119</v>
      </c>
      <c r="M40" s="14" t="s">
        <v>120</v>
      </c>
      <c r="N40" s="14" t="s">
        <v>121</v>
      </c>
      <c r="O40" s="14" t="n">
        <v>1</v>
      </c>
      <c r="P40" s="15" t="n">
        <v>2.269062</v>
      </c>
      <c r="Q40" s="15" t="n">
        <v>1.208953</v>
      </c>
      <c r="R40" s="14" t="n">
        <v>17</v>
      </c>
      <c r="S40" s="15" t="n">
        <v>1.20833</v>
      </c>
      <c r="T40" s="15" t="n">
        <v>1.21009</v>
      </c>
      <c r="U40" s="15" t="n">
        <v>0.487597</v>
      </c>
      <c r="V40" s="15" t="n">
        <v>0.09365</v>
      </c>
      <c r="W40" s="14" t="n">
        <v>1.268</v>
      </c>
      <c r="X40" s="14" t="n">
        <v>17.9</v>
      </c>
      <c r="Y40" s="14" t="s">
        <v>110</v>
      </c>
      <c r="Z40" s="15"/>
      <c r="AA40" s="15"/>
      <c r="AB40" s="14" t="s">
        <v>265</v>
      </c>
      <c r="AC40" s="14" t="s">
        <v>266</v>
      </c>
      <c r="AD40" s="16" t="n">
        <f aca="false">IF(P40="","",P40-LN(7))</f>
        <v>0.323151850944687</v>
      </c>
      <c r="AE40" s="16" t="n">
        <f aca="false">IF(OR(T40="",S40=""),"",T40-S40)</f>
        <v>0.00176000000000021</v>
      </c>
      <c r="AF40" s="16" t="n">
        <f aca="false">IF(OR(V40="",Seeds!$C$8=""),"",V40-Seeds!$C$8)</f>
        <v>-0.767058333333333</v>
      </c>
      <c r="AG40" s="16" t="str">
        <f aca="false">IF(OR(AF40="",Seeds!$C$10=""),"",IF(ABS(AF40)&gt;Seeds!$C$10,"Có","Không"))</f>
        <v>Có</v>
      </c>
    </row>
    <row r="41" customFormat="false" ht="15" hidden="false" customHeight="true" outlineLevel="0" collapsed="false">
      <c r="A41" s="14" t="s">
        <v>267</v>
      </c>
      <c r="B41" s="14" t="s">
        <v>268</v>
      </c>
      <c r="C41" s="14" t="s">
        <v>269</v>
      </c>
      <c r="D41" s="14" t="s">
        <v>116</v>
      </c>
      <c r="E41" s="14" t="s">
        <v>117</v>
      </c>
      <c r="F41" s="14" t="n">
        <v>0.3</v>
      </c>
      <c r="G41" s="14" t="n">
        <v>0</v>
      </c>
      <c r="H41" s="14" t="n">
        <v>512</v>
      </c>
      <c r="I41" s="14" t="n">
        <v>20</v>
      </c>
      <c r="J41" s="14" t="s">
        <v>118</v>
      </c>
      <c r="K41" s="14" t="n">
        <v>0</v>
      </c>
      <c r="L41" s="14" t="s">
        <v>119</v>
      </c>
      <c r="M41" s="14" t="s">
        <v>270</v>
      </c>
      <c r="N41" s="14" t="s">
        <v>121</v>
      </c>
      <c r="O41" s="14" t="n">
        <v>1</v>
      </c>
      <c r="P41" s="15" t="n">
        <v>2.269062</v>
      </c>
      <c r="Q41" s="15" t="n">
        <v>0.224951</v>
      </c>
      <c r="R41" s="14" t="n">
        <v>20</v>
      </c>
      <c r="S41" s="15" t="n">
        <v>0.202036</v>
      </c>
      <c r="T41" s="15" t="n">
        <v>0.224951</v>
      </c>
      <c r="U41" s="15" t="n">
        <v>0.910221</v>
      </c>
      <c r="V41" s="15" t="n">
        <v>0.852032</v>
      </c>
      <c r="W41" s="14" t="n">
        <v>1.482</v>
      </c>
      <c r="X41" s="14" t="n">
        <v>17.9</v>
      </c>
      <c r="Y41" s="14" t="s">
        <v>110</v>
      </c>
      <c r="Z41" s="15"/>
      <c r="AA41" s="15"/>
      <c r="AB41" s="14" t="s">
        <v>271</v>
      </c>
      <c r="AC41" s="14" t="s">
        <v>272</v>
      </c>
      <c r="AD41" s="16" t="n">
        <f aca="false">IF(P41="","",P41-LN(7))</f>
        <v>0.323151850944687</v>
      </c>
      <c r="AE41" s="16" t="n">
        <f aca="false">IF(OR(T41="",S41=""),"",T41-S41)</f>
        <v>0.022915</v>
      </c>
      <c r="AF41" s="16" t="n">
        <f aca="false">IF(OR(V41="",Seeds!$C$8=""),"",V41-Seeds!$C$8)</f>
        <v>-0.00867633333333329</v>
      </c>
      <c r="AG41" s="16" t="str">
        <f aca="false">IF(OR(AF41="",Seeds!$C$10=""),"",IF(ABS(AF41)&gt;Seeds!$C$10,"Có","Không"))</f>
        <v>Có</v>
      </c>
    </row>
    <row r="42" customFormat="false" ht="15" hidden="false" customHeight="true" outlineLevel="0" collapsed="false">
      <c r="A42" s="14" t="s">
        <v>273</v>
      </c>
      <c r="B42" s="14" t="s">
        <v>268</v>
      </c>
      <c r="C42" s="14" t="s">
        <v>274</v>
      </c>
      <c r="D42" s="14" t="s">
        <v>116</v>
      </c>
      <c r="E42" s="14" t="s">
        <v>117</v>
      </c>
      <c r="F42" s="14" t="n">
        <v>0.3</v>
      </c>
      <c r="G42" s="14" t="n">
        <v>0</v>
      </c>
      <c r="H42" s="14" t="n">
        <v>512</v>
      </c>
      <c r="I42" s="14" t="n">
        <v>20</v>
      </c>
      <c r="J42" s="14" t="s">
        <v>163</v>
      </c>
      <c r="K42" s="14" t="n">
        <v>0</v>
      </c>
      <c r="L42" s="14" t="s">
        <v>119</v>
      </c>
      <c r="M42" s="14" t="s">
        <v>270</v>
      </c>
      <c r="N42" s="14" t="s">
        <v>121</v>
      </c>
      <c r="O42" s="14" t="n">
        <v>1</v>
      </c>
      <c r="P42" s="15" t="n">
        <v>1.918217</v>
      </c>
      <c r="Q42" s="15" t="n">
        <v>0.194288</v>
      </c>
      <c r="R42" s="14" t="n">
        <v>19</v>
      </c>
      <c r="S42" s="15" t="n">
        <v>0.162171</v>
      </c>
      <c r="T42" s="15" t="n">
        <v>0.195436</v>
      </c>
      <c r="U42" s="15" t="n">
        <v>0.923786</v>
      </c>
      <c r="V42" s="15" t="n">
        <v>0.875993</v>
      </c>
      <c r="W42" s="14" t="n">
        <v>1.468</v>
      </c>
      <c r="X42" s="14" t="n">
        <v>19.7</v>
      </c>
      <c r="Y42" s="14" t="s">
        <v>110</v>
      </c>
      <c r="Z42" s="15"/>
      <c r="AA42" s="15"/>
      <c r="AB42" s="14" t="s">
        <v>275</v>
      </c>
      <c r="AC42" s="14" t="s">
        <v>276</v>
      </c>
      <c r="AD42" s="16" t="n">
        <f aca="false">IF(P42="","",P42-LN(7))</f>
        <v>-0.0276931490553132</v>
      </c>
      <c r="AE42" s="16" t="n">
        <f aca="false">IF(OR(T42="",S42=""),"",T42-S42)</f>
        <v>0.033265</v>
      </c>
      <c r="AF42" s="16" t="n">
        <f aca="false">IF(OR(V42="",Seeds!$C$8=""),"",V42-Seeds!$C$8)</f>
        <v>0.0152846666666667</v>
      </c>
      <c r="AG42" s="16" t="str">
        <f aca="false">IF(OR(AF42="",Seeds!$C$10=""),"",IF(ABS(AF42)&gt;Seeds!$C$10,"Có","Không"))</f>
        <v>Có</v>
      </c>
    </row>
    <row r="43" customFormat="false" ht="15" hidden="false" customHeight="true" outlineLevel="0" collapsed="false">
      <c r="A43" s="14" t="s">
        <v>277</v>
      </c>
      <c r="B43" s="14" t="s">
        <v>268</v>
      </c>
      <c r="C43" s="14" t="s">
        <v>278</v>
      </c>
      <c r="D43" s="14" t="s">
        <v>116</v>
      </c>
      <c r="E43" s="14" t="s">
        <v>117</v>
      </c>
      <c r="F43" s="14" t="n">
        <v>0.3</v>
      </c>
      <c r="G43" s="14" t="n">
        <v>0</v>
      </c>
      <c r="H43" s="14" t="n">
        <v>512</v>
      </c>
      <c r="I43" s="14" t="n">
        <v>20</v>
      </c>
      <c r="J43" s="14" t="s">
        <v>118</v>
      </c>
      <c r="K43" s="14" t="n">
        <v>0</v>
      </c>
      <c r="L43" s="14" t="s">
        <v>119</v>
      </c>
      <c r="M43" s="14" t="s">
        <v>279</v>
      </c>
      <c r="N43" s="14" t="s">
        <v>121</v>
      </c>
      <c r="O43" s="14" t="n">
        <v>1</v>
      </c>
      <c r="P43" s="15" t="n">
        <v>2.269062</v>
      </c>
      <c r="Q43" s="15" t="n">
        <v>0.22197</v>
      </c>
      <c r="R43" s="14" t="n">
        <v>15</v>
      </c>
      <c r="S43" s="15" t="n">
        <v>0.200772</v>
      </c>
      <c r="T43" s="15" t="n">
        <v>0.223742</v>
      </c>
      <c r="U43" s="15" t="n">
        <v>0.911179</v>
      </c>
      <c r="V43" s="15" t="n">
        <v>0.859735</v>
      </c>
      <c r="W43" s="14" t="n">
        <v>1.697</v>
      </c>
      <c r="X43" s="14" t="n">
        <v>17.9</v>
      </c>
      <c r="Y43" s="14" t="s">
        <v>110</v>
      </c>
      <c r="Z43" s="15"/>
      <c r="AA43" s="15"/>
      <c r="AB43" s="14" t="s">
        <v>280</v>
      </c>
      <c r="AC43" s="14" t="s">
        <v>281</v>
      </c>
      <c r="AD43" s="16" t="n">
        <f aca="false">IF(P43="","",P43-LN(7))</f>
        <v>0.323151850944687</v>
      </c>
      <c r="AE43" s="16" t="n">
        <f aca="false">IF(OR(T43="",S43=""),"",T43-S43)</f>
        <v>0.02297</v>
      </c>
      <c r="AF43" s="16" t="n">
        <f aca="false">IF(OR(V43="",Seeds!$C$8=""),"",V43-Seeds!$C$8)</f>
        <v>-0.000973333333333271</v>
      </c>
      <c r="AG43" s="16" t="str">
        <f aca="false">IF(OR(AF43="",Seeds!$C$10=""),"",IF(ABS(AF43)&gt;Seeds!$C$10,"Có","Không"))</f>
        <v>Không</v>
      </c>
    </row>
    <row r="44" customFormat="false" ht="15" hidden="false" customHeight="true" outlineLevel="0" collapsed="false">
      <c r="A44" s="14" t="s">
        <v>282</v>
      </c>
      <c r="B44" s="14" t="s">
        <v>268</v>
      </c>
      <c r="C44" s="14" t="s">
        <v>283</v>
      </c>
      <c r="D44" s="14" t="s">
        <v>116</v>
      </c>
      <c r="E44" s="14" t="s">
        <v>117</v>
      </c>
      <c r="F44" s="14" t="n">
        <v>0.3</v>
      </c>
      <c r="G44" s="14" t="n">
        <v>0</v>
      </c>
      <c r="H44" s="14" t="n">
        <v>512</v>
      </c>
      <c r="I44" s="14" t="n">
        <v>20</v>
      </c>
      <c r="J44" s="14" t="s">
        <v>163</v>
      </c>
      <c r="K44" s="14" t="n">
        <v>0</v>
      </c>
      <c r="L44" s="14" t="s">
        <v>119</v>
      </c>
      <c r="M44" s="14" t="s">
        <v>279</v>
      </c>
      <c r="N44" s="14" t="s">
        <v>121</v>
      </c>
      <c r="O44" s="14" t="n">
        <v>1</v>
      </c>
      <c r="P44" s="15" t="n">
        <v>1.918217</v>
      </c>
      <c r="Q44" s="15" t="n">
        <v>0.194083</v>
      </c>
      <c r="R44" s="14" t="n">
        <v>20</v>
      </c>
      <c r="S44" s="15" t="n">
        <v>0.162219</v>
      </c>
      <c r="T44" s="15" t="n">
        <v>0.194083</v>
      </c>
      <c r="U44" s="15" t="n">
        <v>0.924733</v>
      </c>
      <c r="V44" s="15" t="n">
        <v>0.874462</v>
      </c>
      <c r="W44" s="14" t="n">
        <v>1.688</v>
      </c>
      <c r="X44" s="14" t="n">
        <v>19.7</v>
      </c>
      <c r="Y44" s="14" t="s">
        <v>110</v>
      </c>
      <c r="Z44" s="15"/>
      <c r="AA44" s="15"/>
      <c r="AB44" s="14" t="s">
        <v>284</v>
      </c>
      <c r="AC44" s="14" t="s">
        <v>285</v>
      </c>
      <c r="AD44" s="16" t="n">
        <f aca="false">IF(P44="","",P44-LN(7))</f>
        <v>-0.0276931490553132</v>
      </c>
      <c r="AE44" s="16" t="n">
        <f aca="false">IF(OR(T44="",S44=""),"",T44-S44)</f>
        <v>0.031864</v>
      </c>
      <c r="AF44" s="16" t="n">
        <f aca="false">IF(OR(V44="",Seeds!$C$8=""),"",V44-Seeds!$C$8)</f>
        <v>0.0137536666666667</v>
      </c>
      <c r="AG44" s="16" t="str">
        <f aca="false">IF(OR(AF44="",Seeds!$C$10=""),"",IF(ABS(AF44)&gt;Seeds!$C$10,"Có","Không"))</f>
        <v>Có</v>
      </c>
    </row>
    <row r="45" customFormat="false" ht="15" hidden="false" customHeight="true" outlineLevel="0" collapsed="false">
      <c r="A45" s="14" t="s">
        <v>286</v>
      </c>
      <c r="B45" s="14" t="s">
        <v>53</v>
      </c>
      <c r="C45" s="14" t="s">
        <v>287</v>
      </c>
      <c r="D45" s="14" t="s">
        <v>116</v>
      </c>
      <c r="E45" s="14" t="s">
        <v>117</v>
      </c>
      <c r="F45" s="14" t="n">
        <v>0.3</v>
      </c>
      <c r="G45" s="14" t="n">
        <v>0</v>
      </c>
      <c r="H45" s="14" t="n">
        <v>512</v>
      </c>
      <c r="I45" s="14" t="n">
        <v>20</v>
      </c>
      <c r="J45" s="14" t="s">
        <v>118</v>
      </c>
      <c r="K45" s="14" t="n">
        <v>0</v>
      </c>
      <c r="L45" s="14" t="s">
        <v>119</v>
      </c>
      <c r="M45" s="14" t="s">
        <v>120</v>
      </c>
      <c r="N45" s="14" t="s">
        <v>288</v>
      </c>
      <c r="O45" s="14" t="n">
        <v>1</v>
      </c>
      <c r="P45" s="15" t="n">
        <v>1.983036</v>
      </c>
      <c r="Q45" s="15" t="n">
        <v>0.217011</v>
      </c>
      <c r="R45" s="14" t="n">
        <v>20</v>
      </c>
      <c r="S45" s="15" t="n">
        <v>0.188894</v>
      </c>
      <c r="T45" s="15" t="n">
        <v>0.217011</v>
      </c>
      <c r="U45" s="15" t="n">
        <v>0.914535</v>
      </c>
      <c r="V45" s="15" t="n">
        <v>0.863651</v>
      </c>
      <c r="W45" s="14" t="n">
        <v>1.283</v>
      </c>
      <c r="X45" s="14" t="n">
        <v>17.9</v>
      </c>
      <c r="Y45" s="14" t="s">
        <v>110</v>
      </c>
      <c r="Z45" s="15"/>
      <c r="AA45" s="15"/>
      <c r="AB45" s="14" t="s">
        <v>289</v>
      </c>
      <c r="AC45" s="14" t="s">
        <v>290</v>
      </c>
      <c r="AD45" s="16" t="n">
        <f aca="false">IF(P45="","",P45-LN(7))</f>
        <v>0.0371258509446868</v>
      </c>
      <c r="AE45" s="16" t="n">
        <f aca="false">IF(OR(T45="",S45=""),"",T45-S45)</f>
        <v>0.028117</v>
      </c>
      <c r="AF45" s="16" t="n">
        <f aca="false">IF(OR(V45="",Seeds!$C$8=""),"",V45-Seeds!$C$8)</f>
        <v>0.00294266666666665</v>
      </c>
      <c r="AG45" s="16" t="str">
        <f aca="false">IF(OR(AF45="",Seeds!$C$10=""),"",IF(ABS(AF45)&gt;Seeds!$C$10,"Có","Không"))</f>
        <v>Không</v>
      </c>
    </row>
    <row r="46" customFormat="false" ht="15" hidden="false" customHeight="true" outlineLevel="0" collapsed="false">
      <c r="A46" s="14" t="s">
        <v>291</v>
      </c>
      <c r="B46" s="14" t="s">
        <v>53</v>
      </c>
      <c r="C46" s="14" t="s">
        <v>292</v>
      </c>
      <c r="D46" s="14" t="s">
        <v>116</v>
      </c>
      <c r="E46" s="14" t="s">
        <v>117</v>
      </c>
      <c r="F46" s="14" t="n">
        <v>0.3</v>
      </c>
      <c r="G46" s="14" t="n">
        <v>0</v>
      </c>
      <c r="H46" s="14" t="n">
        <v>512</v>
      </c>
      <c r="I46" s="14" t="n">
        <v>20</v>
      </c>
      <c r="J46" s="14" t="s">
        <v>118</v>
      </c>
      <c r="K46" s="14" t="n">
        <v>0</v>
      </c>
      <c r="L46" s="14" t="s">
        <v>119</v>
      </c>
      <c r="M46" s="14" t="s">
        <v>120</v>
      </c>
      <c r="N46" s="14" t="s">
        <v>293</v>
      </c>
      <c r="O46" s="14" t="n">
        <v>1</v>
      </c>
      <c r="P46" s="15" t="n">
        <v>1.945996</v>
      </c>
      <c r="Q46" s="15" t="n">
        <v>0.220416</v>
      </c>
      <c r="R46" s="14" t="n">
        <v>20</v>
      </c>
      <c r="S46" s="15" t="n">
        <v>0.193524</v>
      </c>
      <c r="T46" s="15" t="n">
        <v>0.220416</v>
      </c>
      <c r="U46" s="15" t="n">
        <v>0.913685</v>
      </c>
      <c r="V46" s="15" t="n">
        <v>0.86095</v>
      </c>
      <c r="W46" s="14" t="n">
        <v>1.306</v>
      </c>
      <c r="X46" s="14" t="n">
        <v>17.9</v>
      </c>
      <c r="Y46" s="14" t="s">
        <v>110</v>
      </c>
      <c r="Z46" s="15"/>
      <c r="AA46" s="15"/>
      <c r="AB46" s="14" t="s">
        <v>294</v>
      </c>
      <c r="AC46" s="14" t="s">
        <v>295</v>
      </c>
      <c r="AD46" s="16" t="n">
        <f aca="false">IF(P46="","",P46-LN(7))</f>
        <v>8.58509446868272E-005</v>
      </c>
      <c r="AE46" s="16" t="n">
        <f aca="false">IF(OR(T46="",S46=""),"",T46-S46)</f>
        <v>0.026892</v>
      </c>
      <c r="AF46" s="16" t="n">
        <f aca="false">IF(OR(V46="",Seeds!$C$8=""),"",V46-Seeds!$C$8)</f>
        <v>0.000241666666666696</v>
      </c>
      <c r="AG46" s="16" t="str">
        <f aca="false">IF(OR(AF46="",Seeds!$C$10=""),"",IF(ABS(AF46)&gt;Seeds!$C$10,"Có","Không"))</f>
        <v>Không</v>
      </c>
    </row>
    <row r="47" customFormat="false" ht="15" hidden="false" customHeight="true" outlineLevel="0" collapsed="false">
      <c r="A47" s="14" t="s">
        <v>296</v>
      </c>
      <c r="B47" s="14" t="s">
        <v>53</v>
      </c>
      <c r="C47" s="14" t="s">
        <v>297</v>
      </c>
      <c r="D47" s="14" t="s">
        <v>116</v>
      </c>
      <c r="E47" s="14" t="s">
        <v>117</v>
      </c>
      <c r="F47" s="14" t="n">
        <v>0.3</v>
      </c>
      <c r="G47" s="14" t="n">
        <v>0</v>
      </c>
      <c r="H47" s="14" t="n">
        <v>512</v>
      </c>
      <c r="I47" s="14" t="n">
        <v>20</v>
      </c>
      <c r="J47" s="14" t="s">
        <v>118</v>
      </c>
      <c r="K47" s="14" t="n">
        <v>0</v>
      </c>
      <c r="L47" s="14" t="s">
        <v>119</v>
      </c>
      <c r="M47" s="14" t="s">
        <v>120</v>
      </c>
      <c r="N47" s="14" t="s">
        <v>298</v>
      </c>
      <c r="O47" s="14" t="n">
        <v>1</v>
      </c>
      <c r="P47" s="15" t="n">
        <v>2.022176</v>
      </c>
      <c r="Q47" s="15" t="n">
        <v>0.223639</v>
      </c>
      <c r="R47" s="14" t="n">
        <v>18</v>
      </c>
      <c r="S47" s="15" t="n">
        <v>0.202037</v>
      </c>
      <c r="T47" s="15" t="n">
        <v>0.228934</v>
      </c>
      <c r="U47" s="15" t="n">
        <v>0.909597</v>
      </c>
      <c r="V47" s="15" t="n">
        <v>0.85021</v>
      </c>
      <c r="W47" s="14" t="n">
        <v>1.313</v>
      </c>
      <c r="X47" s="14" t="n">
        <v>17.9</v>
      </c>
      <c r="Y47" s="14" t="s">
        <v>110</v>
      </c>
      <c r="Z47" s="15"/>
      <c r="AA47" s="15"/>
      <c r="AB47" s="14" t="s">
        <v>299</v>
      </c>
      <c r="AC47" s="14" t="s">
        <v>300</v>
      </c>
      <c r="AD47" s="16" t="n">
        <f aca="false">IF(P47="","",P47-LN(7))</f>
        <v>0.0762658509446867</v>
      </c>
      <c r="AE47" s="16" t="n">
        <f aca="false">IF(OR(T47="",S47=""),"",T47-S47)</f>
        <v>0.026897</v>
      </c>
      <c r="AF47" s="16" t="n">
        <f aca="false">IF(OR(V47="",Seeds!$C$8=""),"",V47-Seeds!$C$8)</f>
        <v>-0.0104983333333333</v>
      </c>
      <c r="AG47" s="16" t="str">
        <f aca="false">IF(OR(AF47="",Seeds!$C$10=""),"",IF(ABS(AF47)&gt;Seeds!$C$10,"Có","Không"))</f>
        <v>Có</v>
      </c>
    </row>
    <row r="48" customFormat="false" ht="15" hidden="false" customHeight="true" outlineLevel="0" collapsed="false">
      <c r="A48" s="14" t="s">
        <v>301</v>
      </c>
      <c r="B48" s="14" t="s">
        <v>53</v>
      </c>
      <c r="C48" s="14" t="s">
        <v>302</v>
      </c>
      <c r="D48" s="14" t="s">
        <v>116</v>
      </c>
      <c r="E48" s="14" t="s">
        <v>117</v>
      </c>
      <c r="F48" s="14" t="n">
        <v>0.3</v>
      </c>
      <c r="G48" s="14" t="n">
        <v>0</v>
      </c>
      <c r="H48" s="14" t="n">
        <v>512</v>
      </c>
      <c r="I48" s="14" t="n">
        <v>20</v>
      </c>
      <c r="J48" s="14" t="s">
        <v>118</v>
      </c>
      <c r="K48" s="14" t="n">
        <v>0</v>
      </c>
      <c r="L48" s="14" t="s">
        <v>119</v>
      </c>
      <c r="M48" s="14" t="s">
        <v>120</v>
      </c>
      <c r="N48" s="14" t="s">
        <v>303</v>
      </c>
      <c r="O48" s="14" t="n">
        <v>1</v>
      </c>
      <c r="P48" s="15" t="n">
        <v>1.94591</v>
      </c>
      <c r="Q48" s="15" t="n">
        <v>1.205262</v>
      </c>
      <c r="R48" s="14" t="n">
        <v>16</v>
      </c>
      <c r="S48" s="15" t="n">
        <v>1.204526</v>
      </c>
      <c r="T48" s="15" t="n">
        <v>1.20626</v>
      </c>
      <c r="U48" s="15" t="n">
        <v>0.487597</v>
      </c>
      <c r="V48" s="15" t="n">
        <v>0.09365</v>
      </c>
      <c r="W48" s="14" t="n">
        <v>1.264</v>
      </c>
      <c r="X48" s="14" t="n">
        <v>17.9</v>
      </c>
      <c r="Y48" s="14" t="s">
        <v>110</v>
      </c>
      <c r="Z48" s="15"/>
      <c r="AA48" s="15"/>
      <c r="AB48" s="14" t="s">
        <v>304</v>
      </c>
      <c r="AC48" s="14" t="s">
        <v>305</v>
      </c>
      <c r="AD48" s="16" t="n">
        <f aca="false">IF(P48="","",P48-LN(7))</f>
        <v>-1.49055313203306E-007</v>
      </c>
      <c r="AE48" s="16" t="n">
        <f aca="false">IF(OR(T48="",S48=""),"",T48-S48)</f>
        <v>0.00173400000000012</v>
      </c>
      <c r="AF48" s="16" t="n">
        <f aca="false">IF(OR(V48="",Seeds!$C$8=""),"",V48-Seeds!$C$8)</f>
        <v>-0.767058333333333</v>
      </c>
      <c r="AG48" s="16" t="str">
        <f aca="false">IF(OR(AF48="",Seeds!$C$10=""),"",IF(ABS(AF48)&gt;Seeds!$C$10,"Có","Không"))</f>
        <v>Có</v>
      </c>
    </row>
    <row r="49" customFormat="false" ht="15" hidden="false" customHeight="true" outlineLevel="0" collapsed="false">
      <c r="A49" s="14" t="s">
        <v>306</v>
      </c>
      <c r="B49" s="14" t="s">
        <v>307</v>
      </c>
      <c r="C49" s="14" t="s">
        <v>308</v>
      </c>
      <c r="D49" s="14" t="s">
        <v>116</v>
      </c>
      <c r="E49" s="14" t="s">
        <v>109</v>
      </c>
      <c r="F49" s="14" t="n">
        <v>0.003</v>
      </c>
      <c r="G49" s="14" t="n">
        <v>0</v>
      </c>
      <c r="H49" s="14" t="n">
        <v>512</v>
      </c>
      <c r="I49" s="14" t="n">
        <v>40</v>
      </c>
      <c r="J49" s="14" t="s">
        <v>163</v>
      </c>
      <c r="K49" s="14" t="n">
        <v>0</v>
      </c>
      <c r="L49" s="14" t="s">
        <v>119</v>
      </c>
      <c r="M49" s="14" t="s">
        <v>120</v>
      </c>
      <c r="N49" s="14" t="s">
        <v>121</v>
      </c>
      <c r="O49" s="14" t="n">
        <v>1</v>
      </c>
      <c r="P49" s="15" t="n">
        <v>1.918217</v>
      </c>
      <c r="Q49" s="15" t="n">
        <v>0.157821</v>
      </c>
      <c r="R49" s="14" t="n">
        <v>33</v>
      </c>
      <c r="S49" s="15" t="n">
        <v>0.113688</v>
      </c>
      <c r="T49" s="15" t="n">
        <v>0.161368</v>
      </c>
      <c r="U49" s="15" t="n">
        <v>0.940169</v>
      </c>
      <c r="V49" s="15" t="n">
        <v>0.905182</v>
      </c>
      <c r="W49" s="14" t="n">
        <v>1.404</v>
      </c>
      <c r="X49" s="14" t="n">
        <v>20.3</v>
      </c>
      <c r="Y49" s="14" t="s">
        <v>110</v>
      </c>
      <c r="Z49" s="15"/>
      <c r="AA49" s="15"/>
      <c r="AB49" s="14" t="s">
        <v>309</v>
      </c>
      <c r="AC49" s="14" t="s">
        <v>310</v>
      </c>
      <c r="AD49" s="16" t="n">
        <f aca="false">IF(P49="","",P49-LN(7))</f>
        <v>-0.0276931490553132</v>
      </c>
      <c r="AE49" s="16" t="n">
        <f aca="false">IF(OR(T49="",S49=""),"",T49-S49)</f>
        <v>0.04768</v>
      </c>
      <c r="AF49" s="16" t="n">
        <f aca="false">IF(OR(V49="",Seeds!$C$8=""),"",V49-Seeds!$C$8)</f>
        <v>0.0444736666666667</v>
      </c>
      <c r="AG49" s="16" t="str">
        <f aca="false">IF(OR(AF49="",Seeds!$C$10=""),"",IF(ABS(AF49)&gt;Seeds!$C$10,"Có","Không"))</f>
        <v>Có</v>
      </c>
    </row>
    <row r="50" customFormat="false" ht="15" hidden="false" customHeight="true" outlineLevel="0" collapsed="false">
      <c r="A50" s="14" t="s">
        <v>311</v>
      </c>
      <c r="B50" s="14" t="s">
        <v>307</v>
      </c>
      <c r="C50" s="14" t="s">
        <v>312</v>
      </c>
      <c r="D50" s="14" t="s">
        <v>116</v>
      </c>
      <c r="E50" s="14" t="s">
        <v>117</v>
      </c>
      <c r="F50" s="14" t="n">
        <v>0.3</v>
      </c>
      <c r="G50" s="14" t="n">
        <v>0</v>
      </c>
      <c r="H50" s="14" t="n">
        <v>512</v>
      </c>
      <c r="I50" s="14" t="n">
        <v>40</v>
      </c>
      <c r="J50" s="14" t="s">
        <v>163</v>
      </c>
      <c r="K50" s="14" t="n">
        <v>0</v>
      </c>
      <c r="L50" s="14" t="s">
        <v>119</v>
      </c>
      <c r="M50" s="14" t="s">
        <v>120</v>
      </c>
      <c r="N50" s="14" t="s">
        <v>121</v>
      </c>
      <c r="O50" s="14" t="n">
        <v>1</v>
      </c>
      <c r="P50" s="15" t="n">
        <v>1.918217</v>
      </c>
      <c r="Q50" s="15" t="n">
        <v>0.167671</v>
      </c>
      <c r="R50" s="14" t="n">
        <v>38</v>
      </c>
      <c r="S50" s="15" t="n">
        <v>0.128594</v>
      </c>
      <c r="T50" s="15" t="n">
        <v>0.173744</v>
      </c>
      <c r="U50" s="15" t="n">
        <v>0.936641</v>
      </c>
      <c r="V50" s="15" t="n">
        <v>0.895184</v>
      </c>
      <c r="W50" s="14" t="n">
        <v>1.259</v>
      </c>
      <c r="X50" s="14" t="n">
        <v>19.7</v>
      </c>
      <c r="Y50" s="14" t="s">
        <v>110</v>
      </c>
      <c r="Z50" s="15"/>
      <c r="AA50" s="15"/>
      <c r="AB50" s="14" t="s">
        <v>313</v>
      </c>
      <c r="AC50" s="14" t="s">
        <v>314</v>
      </c>
      <c r="AD50" s="16" t="n">
        <f aca="false">IF(P50="","",P50-LN(7))</f>
        <v>-0.0276931490553132</v>
      </c>
      <c r="AE50" s="16" t="n">
        <f aca="false">IF(OR(T50="",S50=""),"",T50-S50)</f>
        <v>0.04515</v>
      </c>
      <c r="AF50" s="16" t="n">
        <f aca="false">IF(OR(V50="",Seeds!$C$8=""),"",V50-Seeds!$C$8)</f>
        <v>0.0344756666666667</v>
      </c>
      <c r="AG50" s="16" t="str">
        <f aca="false">IF(OR(AF50="",Seeds!$C$10=""),"",IF(ABS(AF50)&gt;Seeds!$C$10,"Có","Không"))</f>
        <v>Có</v>
      </c>
    </row>
    <row r="51" customFormat="false" ht="15" hidden="false" customHeight="true" outlineLevel="0" collapsed="false">
      <c r="A51" s="14" t="s">
        <v>315</v>
      </c>
      <c r="B51" s="14" t="s">
        <v>307</v>
      </c>
      <c r="C51" s="14" t="s">
        <v>316</v>
      </c>
      <c r="D51" s="14" t="s">
        <v>116</v>
      </c>
      <c r="E51" s="14" t="s">
        <v>109</v>
      </c>
      <c r="F51" s="14" t="n">
        <v>0.003</v>
      </c>
      <c r="G51" s="14" t="n">
        <v>0</v>
      </c>
      <c r="H51" s="14" t="n">
        <v>512</v>
      </c>
      <c r="I51" s="14" t="n">
        <v>40</v>
      </c>
      <c r="J51" s="14" t="s">
        <v>163</v>
      </c>
      <c r="K51" s="14" t="n">
        <v>0</v>
      </c>
      <c r="L51" s="14" t="s">
        <v>119</v>
      </c>
      <c r="M51" s="14" t="s">
        <v>120</v>
      </c>
      <c r="N51" s="14" t="s">
        <v>121</v>
      </c>
      <c r="O51" s="14" t="n">
        <v>1</v>
      </c>
      <c r="P51" s="15" t="n">
        <v>1.918217</v>
      </c>
      <c r="Q51" s="15" t="n">
        <v>0.157821</v>
      </c>
      <c r="R51" s="14" t="n">
        <v>33</v>
      </c>
      <c r="S51" s="15" t="n">
        <v>0.113688</v>
      </c>
      <c r="T51" s="15" t="n">
        <v>0.161368</v>
      </c>
      <c r="U51" s="15" t="n">
        <v>0.940169</v>
      </c>
      <c r="V51" s="15" t="n">
        <v>0.905182</v>
      </c>
      <c r="W51" s="14" t="n">
        <v>1.414</v>
      </c>
      <c r="X51" s="14" t="n">
        <v>20.3</v>
      </c>
      <c r="Y51" s="14" t="s">
        <v>110</v>
      </c>
      <c r="Z51" s="15" t="n">
        <v>0.939442</v>
      </c>
      <c r="AA51" s="15" t="n">
        <v>0.907194</v>
      </c>
      <c r="AB51" s="14" t="s">
        <v>317</v>
      </c>
      <c r="AC51" s="14" t="s">
        <v>318</v>
      </c>
      <c r="AD51" s="16" t="n">
        <f aca="false">IF(P51="","",P51-LN(7))</f>
        <v>-0.0276931490553132</v>
      </c>
      <c r="AE51" s="16" t="n">
        <f aca="false">IF(OR(T51="",S51=""),"",T51-S51)</f>
        <v>0.04768</v>
      </c>
      <c r="AF51" s="16" t="n">
        <f aca="false">IF(OR(V51="",Seeds!$C$8=""),"",V51-Seeds!$C$8)</f>
        <v>0.0444736666666667</v>
      </c>
      <c r="AG51" s="16" t="str">
        <f aca="false">IF(OR(AF51="",Seeds!$C$10=""),"",IF(ABS(AF51)&gt;Seeds!$C$10,"Có","Không"))</f>
        <v>Có</v>
      </c>
    </row>
    <row r="52" customFormat="false" ht="15" hidden="false" customHeight="true" outlineLevel="0" collapsed="false">
      <c r="A52" s="14" t="s">
        <v>319</v>
      </c>
      <c r="B52" s="14" t="s">
        <v>307</v>
      </c>
      <c r="C52" s="14" t="s">
        <v>320</v>
      </c>
      <c r="D52" s="14" t="s">
        <v>116</v>
      </c>
      <c r="E52" s="14" t="s">
        <v>109</v>
      </c>
      <c r="F52" s="14" t="n">
        <v>0.003</v>
      </c>
      <c r="G52" s="14" t="n">
        <v>0</v>
      </c>
      <c r="H52" s="14" t="n">
        <v>512</v>
      </c>
      <c r="I52" s="14" t="n">
        <v>40</v>
      </c>
      <c r="J52" s="14" t="s">
        <v>163</v>
      </c>
      <c r="K52" s="14" t="n">
        <v>0</v>
      </c>
      <c r="L52" s="14" t="s">
        <v>119</v>
      </c>
      <c r="M52" s="14" t="s">
        <v>120</v>
      </c>
      <c r="N52" s="14" t="s">
        <v>121</v>
      </c>
      <c r="O52" s="14" t="n">
        <v>2</v>
      </c>
      <c r="P52" s="15" t="n">
        <v>2.651977</v>
      </c>
      <c r="Q52" s="15" t="n">
        <v>0.159963</v>
      </c>
      <c r="R52" s="14" t="n">
        <v>38</v>
      </c>
      <c r="S52" s="15" t="n">
        <v>0.115566</v>
      </c>
      <c r="T52" s="15" t="n">
        <v>0.166812</v>
      </c>
      <c r="U52" s="15" t="n">
        <v>0.941137</v>
      </c>
      <c r="V52" s="15" t="n">
        <v>0.908047</v>
      </c>
      <c r="W52" s="14" t="n">
        <v>1.442</v>
      </c>
      <c r="X52" s="14" t="n">
        <v>20.3</v>
      </c>
      <c r="Y52" s="14" t="s">
        <v>110</v>
      </c>
      <c r="Z52" s="15"/>
      <c r="AA52" s="15"/>
      <c r="AB52" s="14" t="s">
        <v>321</v>
      </c>
      <c r="AC52" s="14" t="s">
        <v>322</v>
      </c>
      <c r="AD52" s="16" t="n">
        <f aca="false">IF(P52="","",P52-LN(7))</f>
        <v>0.706066850944687</v>
      </c>
      <c r="AE52" s="16" t="n">
        <f aca="false">IF(OR(T52="",S52=""),"",T52-S52)</f>
        <v>0.051246</v>
      </c>
      <c r="AF52" s="16" t="n">
        <f aca="false">IF(OR(V52="",Seeds!$C$8=""),"",V52-Seeds!$C$8)</f>
        <v>0.0473386666666668</v>
      </c>
      <c r="AG52" s="16" t="str">
        <f aca="false">IF(OR(AF52="",Seeds!$C$10=""),"",IF(ABS(AF52)&gt;Seeds!$C$10,"Có","Không"))</f>
        <v>Có</v>
      </c>
    </row>
    <row r="53" customFormat="false" ht="15" hidden="false" customHeight="true" outlineLevel="0" collapsed="false">
      <c r="A53" s="14" t="s">
        <v>323</v>
      </c>
      <c r="B53" s="14" t="s">
        <v>307</v>
      </c>
      <c r="C53" s="14" t="s">
        <v>324</v>
      </c>
      <c r="D53" s="14" t="s">
        <v>116</v>
      </c>
      <c r="E53" s="14" t="s">
        <v>109</v>
      </c>
      <c r="F53" s="14" t="n">
        <v>0.003</v>
      </c>
      <c r="G53" s="14" t="n">
        <v>0</v>
      </c>
      <c r="H53" s="14" t="n">
        <v>512</v>
      </c>
      <c r="I53" s="14" t="n">
        <v>40</v>
      </c>
      <c r="J53" s="14" t="s">
        <v>163</v>
      </c>
      <c r="K53" s="14" t="n">
        <v>0</v>
      </c>
      <c r="L53" s="14" t="s">
        <v>119</v>
      </c>
      <c r="M53" s="14" t="s">
        <v>120</v>
      </c>
      <c r="N53" s="14" t="s">
        <v>121</v>
      </c>
      <c r="O53" s="14" t="n">
        <v>3</v>
      </c>
      <c r="P53" s="15" t="n">
        <v>2.788175</v>
      </c>
      <c r="Q53" s="15" t="n">
        <v>0.155448</v>
      </c>
      <c r="R53" s="14" t="n">
        <v>39</v>
      </c>
      <c r="S53" s="15" t="n">
        <v>0.115416</v>
      </c>
      <c r="T53" s="15" t="n">
        <v>0.164401</v>
      </c>
      <c r="U53" s="15" t="n">
        <v>0.941654</v>
      </c>
      <c r="V53" s="15" t="n">
        <v>0.911166</v>
      </c>
      <c r="W53" s="14" t="n">
        <v>1.445</v>
      </c>
      <c r="X53" s="14" t="n">
        <v>20.3</v>
      </c>
      <c r="Y53" s="14" t="s">
        <v>110</v>
      </c>
      <c r="Z53" s="15"/>
      <c r="AA53" s="15"/>
      <c r="AB53" s="14" t="s">
        <v>325</v>
      </c>
      <c r="AC53" s="14" t="s">
        <v>322</v>
      </c>
      <c r="AD53" s="16" t="n">
        <f aca="false">IF(P53="","",P53-LN(7))</f>
        <v>0.842264850944687</v>
      </c>
      <c r="AE53" s="16" t="n">
        <f aca="false">IF(OR(T53="",S53=""),"",T53-S53)</f>
        <v>0.048985</v>
      </c>
      <c r="AF53" s="16" t="n">
        <f aca="false">IF(OR(V53="",Seeds!$C$8=""),"",V53-Seeds!$C$8)</f>
        <v>0.0504576666666667</v>
      </c>
      <c r="AG53" s="16" t="str">
        <f aca="false">IF(OR(AF53="",Seeds!$C$10=""),"",IF(ABS(AF53)&gt;Seeds!$C$10,"Có","Không"))</f>
        <v>Có</v>
      </c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6" t="str">
        <f aca="false">IF(P54="","",P54-LN(7))</f>
        <v/>
      </c>
      <c r="AE54" s="16" t="str">
        <f aca="false">IF(OR(T54="",S54=""),"",T54-S54)</f>
        <v/>
      </c>
      <c r="AF54" s="16" t="str">
        <f aca="false">IF(OR(V54="",Seeds!$C$8=""),"",V54-Seeds!$C$8)</f>
        <v/>
      </c>
      <c r="AG54" s="16" t="str">
        <f aca="false">IF(OR(AF54="",Seeds!$C$10=""),"",IF(ABS(AF54)&gt;Seeds!$C$10,"Có","Không"))</f>
        <v/>
      </c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6" t="str">
        <f aca="false">IF(P55="","",P55-LN(7))</f>
        <v/>
      </c>
      <c r="AE55" s="16" t="str">
        <f aca="false">IF(OR(T55="",S55=""),"",T55-S55)</f>
        <v/>
      </c>
      <c r="AF55" s="16" t="str">
        <f aca="false">IF(OR(V55="",Seeds!$C$8=""),"",V55-Seeds!$C$8)</f>
        <v/>
      </c>
      <c r="AG55" s="16" t="str">
        <f aca="false">IF(OR(AF55="",Seeds!$C$10=""),"",IF(ABS(AF55)&gt;Seeds!$C$10,"Có","Không"))</f>
        <v/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6" t="str">
        <f aca="false">IF(P56="","",P56-LN(7))</f>
        <v/>
      </c>
      <c r="AE56" s="16" t="str">
        <f aca="false">IF(OR(T56="",S56=""),"",T56-S56)</f>
        <v/>
      </c>
      <c r="AF56" s="16" t="str">
        <f aca="false">IF(OR(V56="",Seeds!$C$8=""),"",V56-Seeds!$C$8)</f>
        <v/>
      </c>
      <c r="AG56" s="16" t="str">
        <f aca="false">IF(OR(AF56="",Seeds!$C$10=""),"",IF(ABS(AF56)&gt;Seeds!$C$10,"Có","Không"))</f>
        <v/>
      </c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6" t="str">
        <f aca="false">IF(P57="","",P57-LN(7))</f>
        <v/>
      </c>
      <c r="AE57" s="16" t="str">
        <f aca="false">IF(OR(T57="",S57=""),"",T57-S57)</f>
        <v/>
      </c>
      <c r="AF57" s="16" t="str">
        <f aca="false">IF(OR(V57="",Seeds!$C$8=""),"",V57-Seeds!$C$8)</f>
        <v/>
      </c>
      <c r="AG57" s="16" t="str">
        <f aca="false">IF(OR(AF57="",Seeds!$C$10=""),"",IF(ABS(AF57)&gt;Seeds!$C$10,"Có","Không"))</f>
        <v/>
      </c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6" t="str">
        <f aca="false">IF(P58="","",P58-LN(7))</f>
        <v/>
      </c>
      <c r="AE58" s="16" t="str">
        <f aca="false">IF(OR(T58="",S58=""),"",T58-S58)</f>
        <v/>
      </c>
      <c r="AF58" s="16" t="str">
        <f aca="false">IF(OR(V58="",Seeds!$C$8=""),"",V58-Seeds!$C$8)</f>
        <v/>
      </c>
      <c r="AG58" s="16" t="str">
        <f aca="false">IF(OR(AF58="",Seeds!$C$10=""),"",IF(ABS(AF58)&gt;Seeds!$C$10,"Có","Không"))</f>
        <v/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6" t="str">
        <f aca="false">IF(P59="","",P59-LN(7))</f>
        <v/>
      </c>
      <c r="AE59" s="16" t="str">
        <f aca="false">IF(OR(T59="",S59=""),"",T59-S59)</f>
        <v/>
      </c>
      <c r="AF59" s="16" t="str">
        <f aca="false">IF(OR(V59="",Seeds!$C$8=""),"",V59-Seeds!$C$8)</f>
        <v/>
      </c>
      <c r="AG59" s="16" t="str">
        <f aca="false">IF(OR(AF59="",Seeds!$C$10=""),"",IF(ABS(AF59)&gt;Seeds!$C$10,"Có","Không"))</f>
        <v/>
      </c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6" t="str">
        <f aca="false">IF(P60="","",P60-LN(7))</f>
        <v/>
      </c>
      <c r="AE60" s="16" t="str">
        <f aca="false">IF(OR(T60="",S60=""),"",T60-S60)</f>
        <v/>
      </c>
      <c r="AF60" s="16" t="str">
        <f aca="false">IF(OR(V60="",Seeds!$C$8=""),"",V60-Seeds!$C$8)</f>
        <v/>
      </c>
      <c r="AG60" s="16" t="str">
        <f aca="false">IF(OR(AF60="",Seeds!$C$10=""),"",IF(ABS(AF60)&gt;Seeds!$C$10,"Có","Không"))</f>
        <v/>
      </c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6" t="str">
        <f aca="false">IF(P61="","",P61-LN(7))</f>
        <v/>
      </c>
      <c r="AE61" s="16" t="str">
        <f aca="false">IF(OR(T61="",S61=""),"",T61-S61)</f>
        <v/>
      </c>
      <c r="AF61" s="16" t="str">
        <f aca="false">IF(OR(V61="",Seeds!$C$8=""),"",V61-Seeds!$C$8)</f>
        <v/>
      </c>
      <c r="AG61" s="16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0" hidden="false" customHeight="true" outlineLevel="0" collapsed="false">
      <c r="A1" s="8" t="s">
        <v>326</v>
      </c>
      <c r="B1" s="8" t="s">
        <v>70</v>
      </c>
      <c r="C1" s="8" t="s">
        <v>73</v>
      </c>
      <c r="D1" s="8" t="s">
        <v>61</v>
      </c>
    </row>
    <row r="2" customFormat="false" ht="15" hidden="false" customHeight="true" outlineLevel="0" collapsed="false">
      <c r="A2" s="13" t="s">
        <v>113</v>
      </c>
      <c r="B2" s="16" t="n">
        <f aca="false">IF($A2="","",IFERROR(IF(INDEX(Experiments!$U$2:$U$61,MATCH($A2,Experiments!$A$2:$A$61,0))="","",INDEX(Experiments!$U$2:$U$61,MATCH($A2,Experiments!$A$2:$A$61,0))),""))</f>
        <v>0.908974</v>
      </c>
      <c r="C2" s="16" t="n">
        <f aca="false">IF($A2="","",IFERROR(IF(INDEX(Experiments!$V$2:$V$61,MATCH($A2,Experiments!$A$2:$A$61,0))="","",INDEX(Experiments!$V$2:$V$61,MATCH($A2,Experiments!$A$2:$A$61,0))),""))</f>
        <v>0.857346</v>
      </c>
      <c r="D2" s="16" t="n">
        <f aca="false">IF($A2="","",IFERROR(IF(INDEX(Experiments!$Q$2:$Q$61,MATCH($A2,Experiments!$A$2:$A$61,0))="","",INDEX(Experiments!$Q$2:$Q$61,MATCH($A2,Experiments!$A$2:$A$61,0))),""))</f>
        <v>0.231815</v>
      </c>
    </row>
    <row r="3" customFormat="false" ht="15" hidden="false" customHeight="true" outlineLevel="0" collapsed="false">
      <c r="A3" s="13" t="s">
        <v>124</v>
      </c>
      <c r="B3" s="16" t="n">
        <f aca="false">IF($A3="","",IFERROR(IF(INDEX(Experiments!$U$2:$U$61,MATCH($A3,Experiments!$A$2:$A$61,0))="","",INDEX(Experiments!$U$2:$U$61,MATCH($A3,Experiments!$A$2:$A$61,0))),""))</f>
        <v>0.914352</v>
      </c>
      <c r="C3" s="16" t="n">
        <f aca="false">IF($A3="","",IFERROR(IF(INDEX(Experiments!$V$2:$V$61,MATCH($A3,Experiments!$A$2:$A$61,0))="","",INDEX(Experiments!$V$2:$V$61,MATCH($A3,Experiments!$A$2:$A$61,0))),""))</f>
        <v>0.861767</v>
      </c>
      <c r="D3" s="16" t="n">
        <f aca="false">IF($A3="","",IFERROR(IF(INDEX(Experiments!$Q$2:$Q$61,MATCH($A3,Experiments!$A$2:$A$61,0))="","",INDEX(Experiments!$Q$2:$Q$61,MATCH($A3,Experiments!$A$2:$A$61,0))),""))</f>
        <v>0.214488</v>
      </c>
    </row>
    <row r="4" customFormat="false" ht="15" hidden="false" customHeight="true" outlineLevel="0" collapsed="false">
      <c r="A4" s="13" t="s">
        <v>128</v>
      </c>
      <c r="B4" s="16" t="n">
        <f aca="false">IF($A4="","",IFERROR(IF(INDEX(Experiments!$U$2:$U$61,MATCH($A4,Experiments!$A$2:$A$61,0))="","",INDEX(Experiments!$U$2:$U$61,MATCH($A4,Experiments!$A$2:$A$61,0))),""))</f>
        <v>0.912072</v>
      </c>
      <c r="C4" s="16" t="n">
        <f aca="false">IF($A4="","",IFERROR(IF(INDEX(Experiments!$V$2:$V$61,MATCH($A4,Experiments!$A$2:$A$61,0))="","",INDEX(Experiments!$V$2:$V$61,MATCH($A4,Experiments!$A$2:$A$61,0))),""))</f>
        <v>0.863012</v>
      </c>
      <c r="D4" s="16" t="n">
        <f aca="false">IF($A4="","",IFERROR(IF(INDEX(Experiments!$Q$2:$Q$61,MATCH($A4,Experiments!$A$2:$A$61,0))="","",INDEX(Experiments!$Q$2:$Q$61,MATCH($A4,Experiments!$A$2:$A$61,0))),""))</f>
        <v>0.220792</v>
      </c>
    </row>
    <row r="5" customFormat="false" ht="15" hidden="false" customHeight="true" outlineLevel="0" collapsed="false">
      <c r="A5" s="14"/>
      <c r="B5" s="16" t="str">
        <f aca="false">IF($A5="","",IFERROR(IF(INDEX(Experiments!$U$2:$U$61,MATCH($A5,Experiments!$A$2:$A$61,0))="","",INDEX(Experiments!$U$2:$U$61,MATCH($A5,Experiments!$A$2:$A$61,0))),""))</f>
        <v/>
      </c>
      <c r="C5" s="16" t="str">
        <f aca="false">IF($A5="","",IFERROR(IF(INDEX(Experiments!$V$2:$V$61,MATCH($A5,Experiments!$A$2:$A$61,0))="","",INDEX(Experiments!$V$2:$V$61,MATCH($A5,Experiments!$A$2:$A$61,0))),""))</f>
        <v/>
      </c>
      <c r="D5" s="16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true" outlineLevel="0" collapsed="false">
      <c r="A6" s="14"/>
      <c r="B6" s="16" t="str">
        <f aca="false">IF($A6="","",IFERROR(IF(INDEX(Experiments!$U$2:$U$61,MATCH($A6,Experiments!$A$2:$A$61,0))="","",INDEX(Experiments!$U$2:$U$61,MATCH($A6,Experiments!$A$2:$A$61,0))),""))</f>
        <v/>
      </c>
      <c r="C6" s="16" t="str">
        <f aca="false">IF($A6="","",IFERROR(IF(INDEX(Experiments!$V$2:$V$61,MATCH($A6,Experiments!$A$2:$A$61,0))="","",INDEX(Experiments!$V$2:$V$61,MATCH($A6,Experiments!$A$2:$A$61,0))),""))</f>
        <v/>
      </c>
      <c r="D6" s="16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true" outlineLevel="0" collapsed="false">
      <c r="A8" s="17" t="s">
        <v>327</v>
      </c>
      <c r="B8" s="16" t="n">
        <f aca="false">IF(COUNT(B2:B6)=0,"",AVERAGE(B2:B6))</f>
        <v>0.911799333333333</v>
      </c>
      <c r="C8" s="16" t="n">
        <f aca="false">IF(COUNT(C2:C6)=0,"",AVERAGE(C2:C6))</f>
        <v>0.860708333333333</v>
      </c>
      <c r="D8" s="16" t="n">
        <f aca="false">IF(COUNT(D2:D6)=0,"",AVERAGE(D2:D6))</f>
        <v>0.222365</v>
      </c>
    </row>
    <row r="9" customFormat="false" ht="15" hidden="false" customHeight="true" outlineLevel="0" collapsed="false">
      <c r="A9" s="17" t="s">
        <v>328</v>
      </c>
      <c r="B9" s="16" t="n">
        <f aca="false">IF(COUNT(B2:B6)&lt;2,"",STDEV(B2:B6))</f>
        <v>0.00269934831641521</v>
      </c>
      <c r="C9" s="16" t="n">
        <f aca="false">IF(COUNT(C2:C6)&lt;2,"",STDEV(C2:C6))</f>
        <v>0.00297766189036518</v>
      </c>
      <c r="D9" s="16" t="n">
        <f aca="false">IF(COUNT(D2:D6)&lt;2,"",STDEV(D2:D6))</f>
        <v>0.00876994749129092</v>
      </c>
    </row>
    <row r="10" customFormat="false" ht="15" hidden="false" customHeight="true" outlineLevel="0" collapsed="false">
      <c r="A10" s="17" t="s">
        <v>329</v>
      </c>
      <c r="B10" s="16" t="n">
        <f aca="false">IF(B9="","",2*B9)</f>
        <v>0.00539869663283041</v>
      </c>
      <c r="C10" s="16" t="n">
        <f aca="false">IF(C9="","",2*C9)</f>
        <v>0.00595532378073035</v>
      </c>
      <c r="D10" s="16" t="n">
        <f aca="false">IF(D9="","",2*D9)</f>
        <v>0.0175398949825818</v>
      </c>
    </row>
    <row r="12" customFormat="false" ht="15" hidden="false" customHeight="true" outlineLevel="0" collapsed="false">
      <c r="A12" s="3" t="s">
        <v>330</v>
      </c>
    </row>
    <row r="13" customFormat="false" ht="15" hidden="false" customHeight="true" outlineLevel="0" collapsed="false">
      <c r="A13" s="3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8" t="s">
        <v>21</v>
      </c>
      <c r="B1" s="8" t="s">
        <v>332</v>
      </c>
      <c r="C1" s="8" t="s">
        <v>333</v>
      </c>
      <c r="D1" s="8" t="s">
        <v>334</v>
      </c>
      <c r="E1" s="8" t="s">
        <v>335</v>
      </c>
      <c r="F1" s="8" t="s">
        <v>336</v>
      </c>
      <c r="G1" s="8" t="s">
        <v>337</v>
      </c>
      <c r="H1" s="8" t="s">
        <v>338</v>
      </c>
    </row>
    <row r="2" customFormat="false" ht="15" hidden="false" customHeight="true" outlineLevel="0" collapsed="false">
      <c r="A2" s="12" t="s">
        <v>114</v>
      </c>
      <c r="B2" s="18" t="n">
        <f aca="false">COUNTIF(Experiments!$B$2:$B$61,A2)</f>
        <v>3</v>
      </c>
      <c r="C2" s="18" t="n">
        <f aca="false">COUNTIFS(Experiments!$B$2:$B$61,A2,Experiments!$V$2:$V$61,"&lt;&gt;")</f>
        <v>3</v>
      </c>
      <c r="D2" s="16" t="n">
        <f aca="false">IF(C2=0,"",_xlfn.MAXIFS(Experiments!$V$2:$V$61,Experiments!$B$2:$B$61,A2))</f>
        <v>0.863012</v>
      </c>
      <c r="E2" s="16" t="n">
        <f aca="false">IF(C2=0,"",_xlfn.MINIFS(Experiments!$V$2:$V$61,Experiments!$B$2:$B$61,A2))</f>
        <v>0.857346</v>
      </c>
      <c r="F2" s="16" t="n">
        <f aca="false">IF(C2=0,"",_xlfn.MAXIFS(Experiments!$U$2:$U$61,Experiments!$B$2:$B$61,A2))</f>
        <v>0.914352</v>
      </c>
      <c r="G2" s="18" t="s">
        <v>339</v>
      </c>
      <c r="H2" s="19" t="s">
        <v>340</v>
      </c>
    </row>
    <row r="3" customFormat="false" ht="15" hidden="false" customHeight="true" outlineLevel="0" collapsed="false">
      <c r="A3" s="12" t="s">
        <v>27</v>
      </c>
      <c r="B3" s="18" t="n">
        <f aca="false">COUNTIF(Experiments!$B$2:$B$61,A3)</f>
        <v>2</v>
      </c>
      <c r="C3" s="18" t="n">
        <f aca="false">COUNTIFS(Experiments!$B$2:$B$61,A3,Experiments!$V$2:$V$61,"&lt;&gt;")</f>
        <v>2</v>
      </c>
      <c r="D3" s="16" t="n">
        <f aca="false">IF(C3=0,"",_xlfn.MAXIFS(Experiments!$V$2:$V$61,Experiments!$B$2:$B$61,A3))</f>
        <v>0.772613</v>
      </c>
      <c r="E3" s="16" t="n">
        <f aca="false">IF(C3=0,"",_xlfn.MINIFS(Experiments!$V$2:$V$61,Experiments!$B$2:$B$61,A3))</f>
        <v>0.748512</v>
      </c>
      <c r="F3" s="16" t="n">
        <f aca="false">IF(C3=0,"",_xlfn.MAXIFS(Experiments!$U$2:$U$61,Experiments!$B$2:$B$61,A3))</f>
        <v>0.880306</v>
      </c>
      <c r="G3" s="18" t="str">
        <f aca="false">IF(C3&gt;0,"Có","Chưa")</f>
        <v>Có</v>
      </c>
      <c r="H3" s="19" t="s">
        <v>341</v>
      </c>
    </row>
    <row r="4" customFormat="false" ht="15" hidden="false" customHeight="true" outlineLevel="0" collapsed="false">
      <c r="A4" s="12" t="s">
        <v>29</v>
      </c>
      <c r="B4" s="18" t="n">
        <f aca="false">COUNTIF(Experiments!$B$2:$B$61,A4)</f>
        <v>13</v>
      </c>
      <c r="C4" s="18" t="n">
        <f aca="false">COUNTIFS(Experiments!$B$2:$B$61,A4,Experiments!$V$2:$V$61,"&lt;&gt;")</f>
        <v>13</v>
      </c>
      <c r="D4" s="16" t="n">
        <f aca="false">IF(C4=0,"",_xlfn.MAXIFS(Experiments!$V$2:$V$61,Experiments!$B$2:$B$61,A4))</f>
        <v>0.867747</v>
      </c>
      <c r="E4" s="16" t="n">
        <f aca="false">IF(C4=0,"",_xlfn.MINIFS(Experiments!$V$2:$V$61,Experiments!$B$2:$B$61,A4))</f>
        <v>0.615479</v>
      </c>
      <c r="F4" s="16" t="n">
        <f aca="false">IF(C4=0,"",_xlfn.MAXIFS(Experiments!$U$2:$U$61,Experiments!$B$2:$B$61,A4))</f>
        <v>0.916815</v>
      </c>
      <c r="G4" s="18" t="str">
        <f aca="false">IF(C4&gt;0,"Có","Chưa")</f>
        <v>Có</v>
      </c>
      <c r="H4" s="19" t="s">
        <v>342</v>
      </c>
    </row>
    <row r="5" customFormat="false" ht="15" hidden="false" customHeight="true" outlineLevel="0" collapsed="false">
      <c r="A5" s="12" t="s">
        <v>132</v>
      </c>
      <c r="B5" s="18" t="n">
        <f aca="false">COUNTIF(Experiments!$B$2:$B$61,A5)</f>
        <v>14</v>
      </c>
      <c r="C5" s="18" t="n">
        <f aca="false">COUNTIFS(Experiments!$B$2:$B$61,A5,Experiments!$V$2:$V$61,"&lt;&gt;")</f>
        <v>14</v>
      </c>
      <c r="D5" s="16" t="n">
        <f aca="false">IF(C5=0,"",_xlfn.MAXIFS(Experiments!$V$2:$V$61,Experiments!$B$2:$B$61,A5))</f>
        <v>0.874727</v>
      </c>
      <c r="E5" s="16" t="n">
        <f aca="false">IF(C5=0,"",_xlfn.MINIFS(Experiments!$V$2:$V$61,Experiments!$B$2:$B$61,A5))</f>
        <v>0.09365</v>
      </c>
      <c r="F5" s="16" t="n">
        <f aca="false">IF(C5=0,"",_xlfn.MAXIFS(Experiments!$U$2:$U$61,Experiments!$B$2:$B$61,A5))</f>
        <v>0.923151</v>
      </c>
      <c r="G5" s="18" t="str">
        <f aca="false">IF(C5&gt;0,"Có","Chưa")</f>
        <v>Có</v>
      </c>
      <c r="H5" s="19" t="s">
        <v>343</v>
      </c>
    </row>
    <row r="6" customFormat="false" ht="15" hidden="false" customHeight="true" outlineLevel="0" collapsed="false">
      <c r="A6" s="12" t="s">
        <v>46</v>
      </c>
      <c r="B6" s="18" t="n">
        <f aca="false">COUNTIF(Experiments!$B$2:$B$61,A6)</f>
        <v>2</v>
      </c>
      <c r="C6" s="18" t="n">
        <f aca="false">COUNTIFS(Experiments!$B$2:$B$61,A6,Experiments!$V$2:$V$61,"&lt;&gt;")</f>
        <v>2</v>
      </c>
      <c r="D6" s="16" t="n">
        <f aca="false">IF(C6=0,"",_xlfn.MAXIFS(Experiments!$V$2:$V$61,Experiments!$B$2:$B$61,A6))</f>
        <v>0.838478</v>
      </c>
      <c r="E6" s="16" t="n">
        <f aca="false">IF(C6=0,"",_xlfn.MINIFS(Experiments!$V$2:$V$61,Experiments!$B$2:$B$61,A6))</f>
        <v>0.782392</v>
      </c>
      <c r="F6" s="16" t="n">
        <f aca="false">IF(C6=0,"",_xlfn.MAXIFS(Experiments!$U$2:$U$61,Experiments!$B$2:$B$61,A6))</f>
        <v>0.902487</v>
      </c>
      <c r="G6" s="18" t="str">
        <f aca="false">IF(C6&gt;0,"Có","Chưa")</f>
        <v>Có</v>
      </c>
      <c r="H6" s="19" t="s">
        <v>344</v>
      </c>
    </row>
    <row r="7" customFormat="false" ht="15" hidden="false" customHeight="true" outlineLevel="0" collapsed="false">
      <c r="A7" s="12" t="s">
        <v>247</v>
      </c>
      <c r="B7" s="18" t="n">
        <f aca="false">COUNTIF(Experiments!$B$2:$B$61,A7)</f>
        <v>5</v>
      </c>
      <c r="C7" s="18" t="n">
        <f aca="false">COUNTIFS(Experiments!$B$2:$B$61,A7,Experiments!$V$2:$V$61,"&lt;&gt;")</f>
        <v>5</v>
      </c>
      <c r="D7" s="16" t="n">
        <f aca="false">IF(C7=0,"",_xlfn.MAXIFS(Experiments!$V$2:$V$61,Experiments!$B$2:$B$61,A7))</f>
        <v>0.858127</v>
      </c>
      <c r="E7" s="16" t="n">
        <f aca="false">IF(C7=0,"",_xlfn.MINIFS(Experiments!$V$2:$V$61,Experiments!$B$2:$B$61,A7))</f>
        <v>0.09365</v>
      </c>
      <c r="F7" s="16" t="n">
        <f aca="false">IF(C7=0,"",_xlfn.MAXIFS(Experiments!$U$2:$U$61,Experiments!$B$2:$B$61,A7))</f>
        <v>0.90893</v>
      </c>
      <c r="G7" s="18" t="str">
        <f aca="false">IF(C7&gt;0,"Có","Chưa")</f>
        <v>Có</v>
      </c>
      <c r="H7" s="19" t="s">
        <v>345</v>
      </c>
    </row>
    <row r="8" customFormat="false" ht="15" hidden="false" customHeight="true" outlineLevel="0" collapsed="false">
      <c r="A8" s="12" t="s">
        <v>268</v>
      </c>
      <c r="B8" s="18" t="n">
        <f aca="false">COUNTIF(Experiments!$B$2:$B$61,A8)</f>
        <v>4</v>
      </c>
      <c r="C8" s="18" t="n">
        <f aca="false">COUNTIFS(Experiments!$B$2:$B$61,A8,Experiments!$V$2:$V$61,"&lt;&gt;")</f>
        <v>4</v>
      </c>
      <c r="D8" s="16" t="n">
        <f aca="false">IF(C8=0,"",_xlfn.MAXIFS(Experiments!$V$2:$V$61,Experiments!$B$2:$B$61,A8))</f>
        <v>0.875993</v>
      </c>
      <c r="E8" s="16" t="n">
        <f aca="false">IF(C8=0,"",_xlfn.MINIFS(Experiments!$V$2:$V$61,Experiments!$B$2:$B$61,A8))</f>
        <v>0.852032</v>
      </c>
      <c r="F8" s="16" t="n">
        <f aca="false">IF(C8=0,"",_xlfn.MAXIFS(Experiments!$U$2:$U$61,Experiments!$B$2:$B$61,A8))</f>
        <v>0.924733</v>
      </c>
      <c r="G8" s="18" t="str">
        <f aca="false">IF(C8&gt;0,"Có","Chưa")</f>
        <v>Có</v>
      </c>
      <c r="H8" s="19" t="s">
        <v>346</v>
      </c>
    </row>
    <row r="9" customFormat="false" ht="15" hidden="false" customHeight="true" outlineLevel="0" collapsed="false">
      <c r="A9" s="12" t="s">
        <v>53</v>
      </c>
      <c r="B9" s="18" t="n">
        <f aca="false">COUNTIF(Experiments!$B$2:$B$61,A9)</f>
        <v>4</v>
      </c>
      <c r="C9" s="18" t="n">
        <f aca="false">COUNTIFS(Experiments!$B$2:$B$61,A9,Experiments!$V$2:$V$61,"&lt;&gt;")</f>
        <v>4</v>
      </c>
      <c r="D9" s="16" t="n">
        <f aca="false">IF(C9=0,"",_xlfn.MAXIFS(Experiments!$V$2:$V$61,Experiments!$B$2:$B$61,A9))</f>
        <v>0.863651</v>
      </c>
      <c r="E9" s="16" t="n">
        <f aca="false">IF(C9=0,"",_xlfn.MINIFS(Experiments!$V$2:$V$61,Experiments!$B$2:$B$61,A9))</f>
        <v>0.09365</v>
      </c>
      <c r="F9" s="16" t="n">
        <f aca="false">IF(C9=0,"",_xlfn.MAXIFS(Experiments!$U$2:$U$61,Experiments!$B$2:$B$61,A9))</f>
        <v>0.914535</v>
      </c>
      <c r="G9" s="18" t="str">
        <f aca="false">IF(C9&gt;0,"Có","Chưa")</f>
        <v>Có</v>
      </c>
      <c r="H9" s="19" t="s">
        <v>347</v>
      </c>
    </row>
    <row r="10" customFormat="false" ht="15" hidden="false" customHeight="true" outlineLevel="0" collapsed="false">
      <c r="A10" s="12" t="s">
        <v>307</v>
      </c>
      <c r="B10" s="18" t="n">
        <f aca="false">COUNTIF(Experiments!$B$2:$B$61,A10)</f>
        <v>5</v>
      </c>
      <c r="C10" s="18" t="n">
        <f aca="false">COUNTIFS(Experiments!$B$2:$B$61,A10,Experiments!$V$2:$V$61,"&lt;&gt;")</f>
        <v>5</v>
      </c>
      <c r="D10" s="16" t="n">
        <f aca="false">IF(C10=0,"",_xlfn.MAXIFS(Experiments!$V$2:$V$61,Experiments!$B$2:$B$61,A10))</f>
        <v>0.911166</v>
      </c>
      <c r="E10" s="16" t="n">
        <f aca="false">IF(C10=0,"",_xlfn.MINIFS(Experiments!$V$2:$V$61,Experiments!$B$2:$B$61,A10))</f>
        <v>0.895184</v>
      </c>
      <c r="F10" s="16" t="n">
        <f aca="false">IF(C10=0,"",_xlfn.MAXIFS(Experiments!$U$2:$U$61,Experiments!$B$2:$B$61,A10))</f>
        <v>0.941654</v>
      </c>
      <c r="G10" s="18" t="s">
        <v>339</v>
      </c>
      <c r="H10" s="19" t="s">
        <v>348</v>
      </c>
    </row>
    <row r="11" customFormat="false" ht="15" hidden="false" customHeight="true" outlineLevel="0" collapsed="false">
      <c r="A11" s="12" t="s">
        <v>349</v>
      </c>
      <c r="B11" s="18" t="n">
        <f aca="false">COUNTIF(Experiments!$B$2:$B$61,A11)</f>
        <v>0</v>
      </c>
      <c r="C11" s="18" t="n">
        <f aca="false">COUNTIFS(Experiments!$B$2:$B$61,A11,Experiments!$V$2:$V$61,"&lt;&gt;")</f>
        <v>0</v>
      </c>
      <c r="D11" s="16" t="str">
        <f aca="false">IF(C11=0,"",_xlfn.MAXIFS(Experiments!$V$2:$V$61,Experiments!$B$2:$B$61,A11))</f>
        <v/>
      </c>
      <c r="E11" s="16" t="str">
        <f aca="false">IF(C11=0,"",_xlfn.MINIFS(Experiments!$V$2:$V$61,Experiments!$B$2:$B$61,A11))</f>
        <v/>
      </c>
      <c r="F11" s="16" t="str">
        <f aca="false">IF(C11=0,"",_xlfn.MAXIFS(Experiments!$U$2:$U$61,Experiments!$B$2:$B$61,A11))</f>
        <v/>
      </c>
      <c r="G11" s="18" t="s">
        <v>339</v>
      </c>
      <c r="H11" s="19"/>
    </row>
    <row r="13" customFormat="false" ht="15" hidden="false" customHeight="true" outlineLevel="0" collapsed="false">
      <c r="A13" s="4" t="s">
        <v>350</v>
      </c>
      <c r="D13" s="4" t="n">
        <f aca="false">COUNTIF(G2:G11,"Có")</f>
        <v>7</v>
      </c>
    </row>
    <row r="14" customFormat="false" ht="15" hidden="false" customHeight="true" outlineLevel="0" collapsed="false">
      <c r="A14" s="3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2026-10-03T06:00:45Z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